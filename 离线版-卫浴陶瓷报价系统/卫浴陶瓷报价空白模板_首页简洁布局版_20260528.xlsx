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填写首页" sheetId="1" state="visible" r:id="rId1"/>
    <sheet xmlns:r="http://schemas.openxmlformats.org/officeDocument/2006/relationships" name="检查项" sheetId="2" state="visible" r:id="rId2"/>
    <sheet xmlns:r="http://schemas.openxmlformats.org/officeDocument/2006/relationships" name="Input" sheetId="3" state="visible" r:id="rId3"/>
    <sheet xmlns:r="http://schemas.openxmlformats.org/officeDocument/2006/relationships" name="Library" sheetId="4" state="visible" r:id="rId4"/>
    <sheet xmlns:r="http://schemas.openxmlformats.org/officeDocument/2006/relationships" name="BOM" sheetId="5" state="visible" r:id="rId5"/>
    <sheet xmlns:r="http://schemas.openxmlformats.org/officeDocument/2006/relationships" name="Tiers" sheetId="6" state="visible" r:id="rId6"/>
    <sheet xmlns:r="http://schemas.openxmlformats.org/officeDocument/2006/relationships" name="CustomerQuote" sheetId="7" state="visible" r:id="rId7"/>
    <sheet xmlns:r="http://schemas.openxmlformats.org/officeDocument/2006/relationships" name="InternalCost" sheetId="8" state="visible" r:id="rId8"/>
    <sheet xmlns:r="http://schemas.openxmlformats.org/officeDocument/2006/relationships" name="LegacyQuote" sheetId="9" state="visible" r:id="rId9"/>
    <sheet xmlns:r="http://schemas.openxmlformats.org/officeDocument/2006/relationships" name="Packing" sheetId="10" state="visible" r:id="rId10"/>
  </sheets>
  <definedNames>
    <definedName name="_xlnm.Print_Area" localSheetId="0">'填写首页'!$A$1:$L$30</definedName>
    <definedName name="_xlnm._FilterDatabase" localSheetId="3" hidden="1">'Library'!$A$22:$U$34</definedName>
  </definedNames>
  <calcPr calcId="191029" calcMode="auto" fullCalcOnLoad="1" forceFullCalc="1"/>
</workbook>
</file>

<file path=xl/styles.xml><?xml version="1.0" encoding="utf-8"?>
<styleSheet xmlns="http://schemas.openxmlformats.org/spreadsheetml/2006/main">
  <numFmts count="5">
    <numFmt numFmtId="164" formatCode="\$#,##0.00"/>
    <numFmt numFmtId="165" formatCode="0.0%"/>
    <numFmt numFmtId="166" formatCode="0.0000"/>
    <numFmt numFmtId="167" formatCode="yyyy\-mm\-dd"/>
    <numFmt numFmtId="168" formatCode="$#,##0.00"/>
  </numFmts>
  <fonts count="55">
    <font>
      <name val="Carlito"/>
      <sz val="11"/>
    </font>
    <font>
      <name val="Carlito"/>
      <family val="2"/>
      <b val="1"/>
      <color rgb="FFFFFFFF"/>
      <sz val="18"/>
    </font>
    <font>
      <name val="Carlito"/>
      <family val="2"/>
      <b val="1"/>
      <color rgb="FF172033"/>
      <sz val="11"/>
    </font>
    <font>
      <name val="Carlito"/>
      <family val="2"/>
      <b val="1"/>
      <color rgb="FFFFFFFF"/>
      <sz val="11"/>
    </font>
    <font>
      <name val="Carlito"/>
      <family val="2"/>
      <b val="1"/>
      <color rgb="FFFFFFFF"/>
      <sz val="16"/>
    </font>
    <font>
      <name val="Carlito"/>
      <family val="2"/>
      <color rgb="FF172033"/>
      <sz val="10"/>
    </font>
    <font>
      <name val="Carlito"/>
      <family val="2"/>
      <b val="1"/>
      <color rgb="FF172033"/>
      <sz val="10"/>
    </font>
    <font>
      <name val="Carlito"/>
      <family val="2"/>
      <i val="1"/>
      <color rgb="FF64748B"/>
      <sz val="10"/>
    </font>
    <font>
      <name val="Carlito"/>
      <family val="2"/>
      <b val="1"/>
      <sz val="11"/>
    </font>
    <font>
      <name val="Carlito"/>
      <family val="2"/>
      <color rgb="FF1F4E78"/>
      <sz val="11"/>
    </font>
    <font>
      <name val="Carlito"/>
      <family val="2"/>
      <b val="1"/>
      <color rgb="FF0F172A"/>
      <sz val="11"/>
    </font>
    <font>
      <name val="Carlito"/>
      <family val="2"/>
      <b val="1"/>
      <color rgb="FF475569"/>
      <sz val="11"/>
    </font>
    <font>
      <name val="Carlito"/>
      <family val="2"/>
      <color rgb="FF0F172A"/>
      <sz val="11"/>
    </font>
    <font>
      <name val="Carlito"/>
      <family val="2"/>
      <color rgb="FF475569"/>
      <sz val="11"/>
    </font>
    <font>
      <name val="Carlito"/>
      <family val="2"/>
      <color rgb="FF0F172A"/>
      <sz val="10"/>
    </font>
    <font>
      <name val="Carlito"/>
      <family val="2"/>
      <b val="1"/>
      <color rgb="FF0F172A"/>
      <sz val="10"/>
    </font>
    <font>
      <name val="Carlito"/>
      <family val="2"/>
      <color rgb="FF111827"/>
      <sz val="11"/>
    </font>
    <font>
      <name val="Carlito"/>
      <family val="2"/>
      <b val="1"/>
      <color rgb="FF111827"/>
      <sz val="11"/>
    </font>
    <font>
      <name val="Carlito"/>
      <family val="2"/>
      <color rgb="FF111827"/>
      <sz val="11"/>
    </font>
    <font>
      <name val="Carlito"/>
      <family val="2"/>
      <sz val="11"/>
    </font>
    <font>
      <name val="宋体"/>
      <charset val="134"/>
      <family val="3"/>
      <sz val="9"/>
    </font>
    <font>
      <name val="Carlito"/>
      <family val="2"/>
      <b val="1"/>
      <color rgb="FF7F0000"/>
      <sz val="11"/>
    </font>
    <font>
      <name val="Carlito"/>
      <family val="2"/>
      <b val="1"/>
      <color rgb="FF0F243E"/>
      <sz val="10"/>
    </font>
    <font>
      <name val="Carlito"/>
      <family val="2"/>
      <color rgb="FF0F243E"/>
      <sz val="11"/>
    </font>
    <font>
      <name val="Carlito"/>
      <family val="2"/>
      <b val="1"/>
      <color rgb="FF0F243E"/>
      <sz val="11"/>
    </font>
    <font>
      <name val="Carlito"/>
      <family val="2"/>
      <b val="1"/>
      <color rgb="FF7F3F00"/>
      <sz val="11"/>
    </font>
    <font>
      <name val="Carlito"/>
      <family val="2"/>
      <color rgb="FF0F243E"/>
      <sz val="10"/>
    </font>
    <font>
      <name val="Carlito"/>
      <family val="2"/>
      <b val="1"/>
      <color rgb="FFFFFFFF"/>
      <sz val="10"/>
    </font>
    <font>
      <name val="Carlito"/>
      <family val="2"/>
      <b val="1"/>
      <color rgb="FF7F6000"/>
      <sz val="10"/>
    </font>
    <font>
      <name val="Carlito"/>
      <family val="2"/>
      <color rgb="FF0F243E"/>
      <sz val="10"/>
    </font>
    <font>
      <name val="Carlito"/>
      <family val="2"/>
      <b val="1"/>
      <color rgb="FFFFFFFF"/>
      <sz val="12"/>
    </font>
    <font>
      <name val="Carlito"/>
      <charset val="134"/>
      <b val="1"/>
      <sz val="11"/>
    </font>
    <font>
      <name val="Carlito"/>
      <charset val="134"/>
      <b val="1"/>
      <color rgb="FFFFFFFF"/>
      <sz val="16"/>
    </font>
    <font>
      <name val="Carlito"/>
      <charset val="134"/>
      <b val="1"/>
      <sz val="11"/>
    </font>
    <font>
      <name val="Carlito"/>
      <charset val="134"/>
      <b val="1"/>
      <color rgb="FFFFFFFF"/>
      <sz val="11"/>
    </font>
    <font>
      <name val="Carlito"/>
      <charset val="134"/>
      <b val="1"/>
      <sz val="11"/>
    </font>
    <font>
      <name val="Carlito"/>
      <family val="2"/>
      <color rgb="FF000000"/>
      <sz val="10"/>
    </font>
    <font>
      <name val="Carlito"/>
      <charset val="134"/>
      <b val="1"/>
      <color rgb="FF000000"/>
      <sz val="11"/>
    </font>
    <font>
      <name val="Carlito"/>
      <family val="2"/>
      <b val="1"/>
      <color rgb="FF000000"/>
      <sz val="10"/>
    </font>
    <font>
      <name val="Carlito"/>
      <charset val="134"/>
      <b val="1"/>
      <sz val="11"/>
    </font>
    <font>
      <name val="Carlito"/>
      <charset val="134"/>
      <b val="1"/>
      <sz val="11"/>
    </font>
    <font>
      <name val="Carlito"/>
      <charset val="134"/>
      <b val="1"/>
      <color rgb="FFFFFFFF"/>
      <sz val="16"/>
    </font>
    <font>
      <name val="Carlito"/>
      <charset val="134"/>
      <b val="1"/>
      <color rgb="FFFFFFFF"/>
      <sz val="11"/>
    </font>
    <font>
      <name val="Carlito"/>
      <charset val="134"/>
      <b val="1"/>
      <sz val="11"/>
    </font>
    <font>
      <name val="Carlito"/>
      <charset val="134"/>
      <sz val="11"/>
    </font>
    <font>
      <name val="Carlito"/>
      <charset val="134"/>
      <b val="1"/>
      <sz val="11"/>
    </font>
    <font>
      <name val="Carlito"/>
      <charset val="134"/>
      <b val="1"/>
      <color rgb="FFFFFFFF"/>
      <sz val="20"/>
    </font>
    <font>
      <name val="Carlito"/>
      <charset val="134"/>
      <b val="1"/>
      <color rgb="FF9C0006"/>
      <sz val="11"/>
    </font>
    <font>
      <name val="Carlito"/>
      <charset val="134"/>
      <b val="1"/>
      <color rgb="FFFFFFFF"/>
      <sz val="12"/>
    </font>
    <font>
      <name val="Carlito"/>
      <charset val="134"/>
      <b val="1"/>
      <color rgb="FF002060"/>
      <sz val="11"/>
    </font>
    <font>
      <b val="1"/>
      <color rgb="00FFFFFF"/>
      <sz val="20"/>
    </font>
    <font>
      <b val="1"/>
      <color rgb="009C0006"/>
    </font>
    <font>
      <b val="1"/>
      <color rgb="00FFFFFF"/>
      <sz val="12"/>
    </font>
    <font>
      <b val="1"/>
      <color rgb="00002060"/>
    </font>
    <font>
      <b val="1"/>
      <color rgb="00FFFFFF"/>
    </font>
  </fonts>
  <fills count="89">
    <fill>
      <patternFill/>
    </fill>
    <fill>
      <patternFill patternType="gray125"/>
    </fill>
    <fill>
      <patternFill patternType="solid">
        <fgColor rgb="FFDDF7F3"/>
      </patternFill>
    </fill>
    <fill>
      <patternFill patternType="solid">
        <fgColor rgb="FF0F766E"/>
      </patternFill>
    </fill>
    <fill>
      <patternFill patternType="solid">
        <fgColor rgb="FFF8FAFC"/>
      </patternFill>
    </fill>
    <fill>
      <patternFill patternType="solid">
        <fgColor rgb="FFFEF3C7"/>
      </patternFill>
    </fill>
    <fill>
      <patternFill patternType="solid">
        <fgColor rgb="FFF1F5F9"/>
      </patternFill>
    </fill>
    <fill>
      <patternFill patternType="solid">
        <fgColor rgb="FF0F766E"/>
      </patternFill>
    </fill>
    <fill>
      <patternFill patternType="solid">
        <fgColor rgb="FFDDF7F3"/>
      </patternFill>
    </fill>
    <fill>
      <patternFill patternType="solid">
        <fgColor rgb="FFD9D9D9"/>
      </patternFill>
    </fill>
    <fill>
      <patternFill patternType="solid">
        <fgColor rgb="FFDDF7F3"/>
      </patternFill>
    </fill>
    <fill>
      <patternFill patternType="solid">
        <fgColor rgb="FFFEF3C7"/>
      </patternFill>
    </fill>
    <fill>
      <patternFill patternType="solid">
        <fgColor rgb="FFFDE2E2"/>
      </patternFill>
    </fill>
    <fill>
      <patternFill patternType="solid">
        <fgColor rgb="FFFCE4D6"/>
      </patternFill>
    </fill>
    <fill>
      <patternFill patternType="solid">
        <fgColor rgb="FF1F4E78"/>
      </patternFill>
    </fill>
    <fill>
      <patternFill patternType="solid">
        <fgColor rgb="FFF7F9FB"/>
      </patternFill>
    </fill>
    <fill>
      <patternFill patternType="solid">
        <fgColor rgb="FFFFF7D6"/>
      </patternFill>
    </fill>
    <fill>
      <patternFill patternType="solid">
        <fgColor rgb="FFEAF3F8"/>
      </patternFill>
    </fill>
    <fill>
      <patternFill patternType="solid">
        <fgColor rgb="FFDDEBF7"/>
      </patternFill>
    </fill>
    <fill>
      <patternFill patternType="solid">
        <fgColor rgb="FFFFE699"/>
      </patternFill>
    </fill>
    <fill>
      <patternFill patternType="solid">
        <fgColor rgb="FFDDEBF7"/>
      </patternFill>
    </fill>
    <fill>
      <patternFill patternType="solid">
        <fgColor rgb="FFE2F0D9"/>
      </patternFill>
    </fill>
    <fill>
      <patternFill patternType="solid">
        <fgColor rgb="FFFFFFFF"/>
      </patternFill>
    </fill>
    <fill>
      <patternFill patternType="solid">
        <fgColor rgb="FF0F766E"/>
      </patternFill>
    </fill>
    <fill>
      <patternFill patternType="solid">
        <fgColor rgb="FFF1F5F9"/>
      </patternFill>
    </fill>
    <fill>
      <patternFill patternType="solid">
        <fgColor rgb="FFE7E6E6"/>
      </patternFill>
    </fill>
    <fill>
      <patternFill patternType="solid">
        <fgColor rgb="FFF8FAFC"/>
      </patternFill>
    </fill>
    <fill>
      <patternFill patternType="solid">
        <fgColor rgb="FFF4CCCC"/>
      </patternFill>
    </fill>
    <fill>
      <patternFill patternType="solid">
        <fgColor rgb="FFFFFFFF"/>
      </patternFill>
    </fill>
    <fill>
      <patternFill patternType="solid">
        <fgColor rgb="FFFFD966"/>
      </patternFill>
    </fill>
    <fill>
      <patternFill patternType="solid">
        <fgColor rgb="FFF4B183"/>
      </patternFill>
    </fill>
    <fill>
      <patternFill patternType="solid">
        <fgColor rgb="FFE7E6E6"/>
      </patternFill>
    </fill>
    <fill>
      <patternFill patternType="solid">
        <fgColor rgb="FFBDD7EE"/>
      </patternFill>
    </fill>
    <fill>
      <patternFill patternType="solid">
        <fgColor rgb="FF0F766E"/>
      </patternFill>
    </fill>
    <fill>
      <patternFill patternType="solid">
        <fgColor rgb="FFEEF2F7"/>
      </patternFill>
    </fill>
    <fill>
      <patternFill patternType="solid">
        <fgColor rgb="FFDDEBF7"/>
      </patternFill>
    </fill>
    <fill>
      <patternFill patternType="solid">
        <fgColor rgb="FFD9EAD3"/>
      </patternFill>
    </fill>
    <fill>
      <patternFill patternType="solid">
        <fgColor rgb="FFFFF2CC"/>
      </patternFill>
    </fill>
    <fill>
      <patternFill patternType="solid">
        <fgColor rgb="FFE7E6E6"/>
      </patternFill>
    </fill>
    <fill>
      <patternFill patternType="solid">
        <fgColor rgb="FF0B1324"/>
      </patternFill>
    </fill>
    <fill>
      <patternFill patternType="solid">
        <fgColor rgb="FFD9EAD3"/>
      </patternFill>
    </fill>
    <fill>
      <patternFill patternType="solid">
        <fgColor rgb="FFEEF2F7"/>
      </patternFill>
    </fill>
    <fill>
      <patternFill patternType="solid">
        <fgColor rgb="FFFFD966"/>
      </patternFill>
    </fill>
    <fill>
      <patternFill patternType="solid">
        <fgColor rgb="FFDDEBF7"/>
      </patternFill>
    </fill>
    <fill>
      <patternFill patternType="solid">
        <fgColor rgb="FFEEF2F7"/>
      </patternFill>
    </fill>
    <fill>
      <patternFill patternType="solid">
        <fgColor rgb="FFDDEBF7"/>
      </patternFill>
    </fill>
    <fill>
      <patternFill patternType="solid">
        <fgColor rgb="FFE7E6E6"/>
      </patternFill>
    </fill>
    <fill>
      <patternFill patternType="solid">
        <fgColor rgb="FFFFF2CC"/>
      </patternFill>
    </fill>
    <fill>
      <patternFill patternType="solid">
        <fgColor rgb="FFFFD966"/>
      </patternFill>
    </fill>
    <fill>
      <patternFill patternType="solid">
        <fgColor rgb="FFFFE699"/>
      </patternFill>
    </fill>
    <fill>
      <patternFill patternType="solid">
        <fgColor rgb="FFFCE4D6"/>
      </patternFill>
    </fill>
    <fill>
      <patternFill patternType="solid">
        <fgColor rgb="FFEADCF8"/>
      </patternFill>
    </fill>
    <fill>
      <patternFill patternType="solid">
        <fgColor rgb="FFE7E6E6"/>
      </patternFill>
    </fill>
    <fill>
      <patternFill patternType="solid">
        <fgColor rgb="FFE2F0D9"/>
      </patternFill>
    </fill>
    <fill>
      <patternFill patternType="solid">
        <fgColor rgb="FF107C71"/>
      </patternFill>
    </fill>
    <fill>
      <patternFill patternType="solid">
        <fgColor rgb="FFFFF2CC"/>
      </patternFill>
    </fill>
    <fill>
      <patternFill patternType="solid">
        <fgColor rgb="FF107C71"/>
      </patternFill>
    </fill>
    <fill>
      <patternFill patternType="solid">
        <fgColor rgb="FFFFF2CC"/>
      </patternFill>
    </fill>
    <fill>
      <patternFill patternType="solid">
        <fgColor rgb="FFDDEBF7"/>
      </patternFill>
    </fill>
    <fill>
      <patternFill patternType="solid">
        <fgColor rgb="FFE2F0D9"/>
      </patternFill>
    </fill>
    <fill>
      <patternFill patternType="solid">
        <fgColor rgb="FF1F4E78"/>
      </patternFill>
    </fill>
    <fill>
      <patternFill patternType="solid">
        <fgColor rgb="FFE2F0D9"/>
      </patternFill>
    </fill>
    <fill>
      <patternFill patternType="solid">
        <fgColor rgb="FFD9EAF7"/>
      </patternFill>
    </fill>
    <fill>
      <patternFill patternType="solid">
        <fgColor rgb="FFFCE4D6"/>
      </patternFill>
    </fill>
    <fill>
      <patternFill patternType="solid">
        <fgColor rgb="FFD9EAD3"/>
      </patternFill>
    </fill>
    <fill>
      <patternFill patternType="solid">
        <fgColor rgb="FFFFF2CC"/>
      </patternFill>
    </fill>
    <fill>
      <patternFill patternType="solid">
        <fgColor rgb="FFDDEBF7"/>
      </patternFill>
    </fill>
    <fill>
      <patternFill patternType="solid">
        <fgColor rgb="FFE2F0D9"/>
      </patternFill>
    </fill>
    <fill>
      <patternFill patternType="solid">
        <fgColor rgb="FFF4B183"/>
      </patternFill>
    </fill>
    <fill>
      <patternFill patternType="solid">
        <fgColor rgb="FFFFF2CC"/>
      </patternFill>
    </fill>
    <fill>
      <patternFill patternType="solid">
        <fgColor rgb="FFDDEBF7"/>
      </patternFill>
    </fill>
    <fill>
      <patternFill patternType="solid">
        <fgColor rgb="FF1F4E78"/>
      </patternFill>
    </fill>
    <fill>
      <patternFill patternType="solid">
        <fgColor rgb="FF5B9BD5"/>
      </patternFill>
    </fill>
    <fill>
      <patternFill patternType="solid">
        <fgColor rgb="FFFCE4D6"/>
      </patternFill>
    </fill>
    <fill>
      <patternFill patternType="solid">
        <fgColor rgb="FFFFF2CC"/>
      </patternFill>
    </fill>
    <fill>
      <patternFill patternType="solid">
        <fgColor rgb="FFFFF2CC"/>
      </patternFill>
    </fill>
    <fill>
      <patternFill patternType="solid">
        <fgColor rgb="FFE2F0D9"/>
      </patternFill>
    </fill>
    <fill>
      <patternFill patternType="solid">
        <fgColor rgb="FF0B1320"/>
      </patternFill>
    </fill>
    <fill>
      <patternFill patternType="solid">
        <fgColor rgb="FF0F7F72"/>
      </patternFill>
    </fill>
    <fill>
      <patternFill patternType="solid">
        <fgColor rgb="FFF4B183"/>
      </patternFill>
    </fill>
    <fill>
      <patternFill patternType="solid">
        <fgColor rgb="FFDDEBF7"/>
      </patternFill>
    </fill>
    <fill>
      <patternFill patternType="solid">
        <fgColor rgb="000B1320"/>
      </patternFill>
    </fill>
    <fill>
      <patternFill patternType="solid">
        <fgColor rgb="00E2F0D9"/>
      </patternFill>
    </fill>
    <fill>
      <patternFill patternType="solid">
        <fgColor rgb="000F7F72"/>
      </patternFill>
    </fill>
    <fill>
      <patternFill patternType="solid">
        <fgColor rgb="00EADCF8"/>
      </patternFill>
    </fill>
    <fill>
      <patternFill patternType="solid">
        <fgColor rgb="00FFF2CC"/>
      </patternFill>
    </fill>
    <fill>
      <patternFill patternType="solid">
        <fgColor rgb="00F4B183"/>
      </patternFill>
    </fill>
    <fill>
      <patternFill patternType="solid">
        <fgColor rgb="00EDEDED"/>
      </patternFill>
    </fill>
    <fill>
      <patternFill patternType="solid">
        <fgColor rgb="00DDEBF7"/>
      </patternFill>
    </fill>
  </fills>
  <borders count="28">
    <border>
      <left/>
      <right/>
      <top/>
      <bottom/>
      <diagonal/>
    </border>
    <border>
      <left style="thin">
        <color rgb="FFA6A6A6"/>
      </left>
      <right style="thin">
        <color rgb="FFA6A6A6"/>
      </right>
      <top style="thin">
        <color rgb="FFA6A6A6"/>
      </top>
      <bottom style="thin">
        <color rgb="FFA6A6A6"/>
      </bottom>
      <diagonal/>
    </border>
    <border>
      <left style="medium">
        <color rgb="FF7F6000"/>
      </left>
      <right style="medium">
        <color rgb="FF7F6000"/>
      </right>
      <top style="medium">
        <color rgb="FF7F6000"/>
      </top>
      <bottom style="medium">
        <color rgb="FF7F6000"/>
      </bottom>
      <diagonal/>
    </border>
    <border>
      <left style="medium">
        <color rgb="FFC00000"/>
      </left>
      <right style="medium">
        <color rgb="FFC00000"/>
      </right>
      <top style="medium">
        <color rgb="FFC00000"/>
      </top>
      <bottom style="medium">
        <color rgb="FFC00000"/>
      </bottom>
      <diagonal/>
    </border>
    <border>
      <left style="thin">
        <color rgb="FFBF9000"/>
      </left>
      <right style="thin">
        <color rgb="FFBF9000"/>
      </right>
      <top style="thin">
        <color rgb="FFBF9000"/>
      </top>
      <bottom style="thin">
        <color rgb="FFBF9000"/>
      </bottom>
      <diagonal/>
    </border>
    <border>
      <left style="medium">
        <color rgb="FFC65911"/>
      </left>
      <right style="medium">
        <color rgb="FFC65911"/>
      </right>
      <top style="medium">
        <color rgb="FFC65911"/>
      </top>
      <bottom style="medium">
        <color rgb="FFC65911"/>
      </bottom>
      <diagonal/>
    </border>
    <border>
      <left style="thin">
        <color rgb="FFC00000"/>
      </left>
      <right style="thin">
        <color rgb="FFC00000"/>
      </right>
      <top style="thin">
        <color rgb="FFC00000"/>
      </top>
      <bottom style="thin">
        <color rgb="FFC00000"/>
      </bottom>
      <diagonal/>
    </border>
    <border>
      <left style="thin">
        <color rgb="FFC65911"/>
      </left>
      <right style="thin">
        <color rgb="FFC65911"/>
      </right>
      <top style="thin">
        <color rgb="FFC65911"/>
      </top>
      <bottom style="thin">
        <color rgb="FFC65911"/>
      </bottom>
      <diagonal/>
    </border>
    <border>
      <left style="thin">
        <color rgb="FFBF9000"/>
      </left>
      <right/>
      <top style="thin">
        <color rgb="FFBF9000"/>
      </top>
      <bottom style="thin">
        <color rgb="FFBF9000"/>
      </bottom>
      <diagonal/>
    </border>
    <border>
      <left/>
      <right/>
      <top style="thin">
        <color rgb="FFBF9000"/>
      </top>
      <bottom style="thin">
        <color rgb="FFBF9000"/>
      </bottom>
      <diagonal/>
    </border>
    <border>
      <left/>
      <right style="thin">
        <color rgb="FFBF9000"/>
      </right>
      <top style="thin">
        <color rgb="FFBF9000"/>
      </top>
      <bottom style="thin">
        <color rgb="FFBF9000"/>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C65A11"/>
      </left>
      <right style="thin">
        <color rgb="FFC65A11"/>
      </right>
      <top style="thin">
        <color rgb="FFC65A11"/>
      </top>
      <bottom style="thin">
        <color rgb="FFC65A11"/>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style="thin">
        <color rgb="FFD9D9D9"/>
      </left>
      <right/>
      <top/>
      <bottom/>
      <diagonal/>
    </border>
    <border>
      <left/>
      <right/>
      <top style="thin">
        <color rgb="FFD9D9D9"/>
      </top>
      <bottom/>
      <diagonal/>
    </border>
    <border>
      <left/>
      <right style="thin">
        <color rgb="FFD9D9D9"/>
      </right>
      <top style="thin">
        <color rgb="FFD9D9D9"/>
      </top>
      <bottom/>
      <diagonal/>
    </border>
    <border>
      <left style="thin">
        <color rgb="00A6A6A6"/>
      </left>
      <right style="thin">
        <color rgb="00A6A6A6"/>
      </right>
      <top style="thin">
        <color rgb="00A6A6A6"/>
      </top>
      <bottom style="thin">
        <color rgb="00A6A6A6"/>
      </bottom>
    </border>
    <border>
      <left style="thin">
        <color rgb="00FF0000"/>
      </left>
      <right style="thin">
        <color rgb="00FF0000"/>
      </right>
      <top style="thin">
        <color rgb="00FF0000"/>
      </top>
      <bottom style="thin">
        <color rgb="00FF0000"/>
      </bottom>
    </border>
    <border>
      <left style="thin">
        <color rgb="00C65A11"/>
      </left>
      <right style="thin">
        <color rgb="00C65A11"/>
      </right>
      <top style="thin">
        <color rgb="00C65A11"/>
      </top>
      <bottom style="thin">
        <color rgb="00C65A11"/>
      </bottom>
    </border>
  </borders>
  <cellStyleXfs count="2">
    <xf numFmtId="0" fontId="0" fillId="0" borderId="0"/>
    <xf numFmtId="0" fontId="19" fillId="0" borderId="0"/>
  </cellStyleXfs>
  <cellXfs count="259">
    <xf numFmtId="0" fontId="0" fillId="0" borderId="0" pivotButton="0" quotePrefix="0" xfId="0"/>
    <xf numFmtId="0" fontId="6" fillId="9" borderId="13" applyAlignment="1" applyProtection="1" pivotButton="0" quotePrefix="0" xfId="1">
      <alignment vertical="center" wrapText="1"/>
      <protection locked="0" hidden="0"/>
    </xf>
    <xf numFmtId="0" fontId="5" fillId="10" borderId="13" applyAlignment="1" applyProtection="1" pivotButton="0" quotePrefix="0" xfId="1">
      <alignment vertical="center" wrapText="1"/>
      <protection locked="0" hidden="0"/>
    </xf>
    <xf numFmtId="4" fontId="5" fillId="11" borderId="13" applyAlignment="1" applyProtection="1" pivotButton="0" quotePrefix="0" xfId="1">
      <alignment vertical="center" wrapText="1"/>
      <protection locked="0" hidden="0"/>
    </xf>
    <xf numFmtId="0" fontId="0" fillId="0" borderId="0" applyProtection="1" pivotButton="0" quotePrefix="0" xfId="0">
      <protection locked="0" hidden="0"/>
    </xf>
    <xf numFmtId="0" fontId="27" fillId="56" borderId="1" applyAlignment="1" applyProtection="1" pivotButton="0" quotePrefix="0" xfId="0">
      <alignment vertical="center" wrapText="1"/>
      <protection locked="0" hidden="0"/>
    </xf>
    <xf numFmtId="0" fontId="0" fillId="8" borderId="0" applyAlignment="1" applyProtection="1" pivotButton="0" quotePrefix="0" xfId="1">
      <alignment vertical="center" wrapText="1"/>
      <protection locked="0" hidden="0"/>
    </xf>
    <xf numFmtId="0" fontId="29" fillId="59" borderId="1" applyAlignment="1" applyProtection="1" pivotButton="0" quotePrefix="0" xfId="0">
      <alignment vertical="center" wrapText="1"/>
      <protection locked="0" hidden="0"/>
    </xf>
    <xf numFmtId="0" fontId="12" fillId="25" borderId="0" applyAlignment="1" applyProtection="1" pivotButton="0" quotePrefix="0" xfId="1">
      <alignment vertical="center" wrapText="1"/>
      <protection locked="0" hidden="0"/>
    </xf>
    <xf numFmtId="2" fontId="12" fillId="25" borderId="0" applyAlignment="1" applyProtection="1" pivotButton="0" quotePrefix="0" xfId="1">
      <alignment vertical="center" wrapText="1"/>
      <protection locked="0" hidden="0"/>
    </xf>
    <xf numFmtId="4" fontId="12" fillId="25" borderId="0" applyAlignment="1" applyProtection="1" pivotButton="0" quotePrefix="0" xfId="1">
      <alignment vertical="center" wrapText="1"/>
      <protection locked="0" hidden="0"/>
    </xf>
    <xf numFmtId="0" fontId="26" fillId="53" borderId="1" applyAlignment="1" applyProtection="1" pivotButton="0" quotePrefix="0" xfId="0">
      <alignment vertical="center" wrapText="1"/>
      <protection locked="0" hidden="0"/>
    </xf>
    <xf numFmtId="0" fontId="0" fillId="0" borderId="0" applyAlignment="1" applyProtection="1" pivotButton="0" quotePrefix="0" xfId="1">
      <alignment vertical="center" wrapText="1"/>
      <protection locked="0" hidden="0"/>
    </xf>
    <xf numFmtId="0" fontId="12" fillId="21" borderId="0" applyAlignment="1" applyProtection="1" pivotButton="0" quotePrefix="0" xfId="1">
      <alignment vertical="center" wrapText="1"/>
      <protection locked="0" hidden="0"/>
    </xf>
    <xf numFmtId="0" fontId="12" fillId="22" borderId="0" applyAlignment="1" applyProtection="1" pivotButton="0" quotePrefix="0" xfId="1">
      <alignment vertical="center" wrapText="1"/>
      <protection locked="0" hidden="0"/>
    </xf>
    <xf numFmtId="0" fontId="12" fillId="20" borderId="0" applyAlignment="1" applyProtection="1" pivotButton="0" quotePrefix="0" xfId="1">
      <alignment vertical="center" wrapText="1"/>
      <protection locked="0" hidden="0"/>
    </xf>
    <xf numFmtId="0" fontId="10" fillId="20" borderId="0" applyAlignment="1" applyProtection="1" pivotButton="0" quotePrefix="0" xfId="1">
      <alignment vertical="center" wrapText="1"/>
      <protection locked="0" hidden="0"/>
    </xf>
    <xf numFmtId="164" fontId="12" fillId="20" borderId="0" applyAlignment="1" applyProtection="1" pivotButton="0" quotePrefix="0" xfId="1">
      <alignment vertical="center" wrapText="1"/>
      <protection locked="0" hidden="0"/>
    </xf>
    <xf numFmtId="2" fontId="10" fillId="20" borderId="0" applyAlignment="1" applyProtection="1" pivotButton="0" quotePrefix="0" xfId="1">
      <alignment vertical="center" wrapText="1"/>
      <protection locked="0" hidden="0"/>
    </xf>
    <xf numFmtId="0" fontId="22" fillId="59" borderId="1" applyAlignment="1" applyProtection="1" pivotButton="0" quotePrefix="0" xfId="0">
      <alignment vertical="center" wrapText="1"/>
      <protection locked="0" hidden="0"/>
    </xf>
    <xf numFmtId="10" fontId="12" fillId="25" borderId="0" applyAlignment="1" applyProtection="1" pivotButton="0" quotePrefix="0" xfId="1">
      <alignment vertical="center" wrapText="1"/>
      <protection locked="0" hidden="0"/>
    </xf>
    <xf numFmtId="4" fontId="12" fillId="20" borderId="0" applyAlignment="1" applyProtection="1" pivotButton="0" quotePrefix="0" xfId="1">
      <alignment vertical="center" wrapText="1"/>
      <protection locked="0" hidden="0"/>
    </xf>
    <xf numFmtId="0" fontId="14" fillId="19" borderId="0" applyAlignment="1" applyProtection="1" pivotButton="0" quotePrefix="0" xfId="1">
      <alignment vertical="center" wrapText="1"/>
      <protection locked="0" hidden="0"/>
    </xf>
    <xf numFmtId="0" fontId="5" fillId="0" borderId="0" applyAlignment="1" applyProtection="1" pivotButton="0" quotePrefix="0" xfId="1">
      <alignment vertical="center" wrapText="1"/>
      <protection locked="0" hidden="0"/>
    </xf>
    <xf numFmtId="0" fontId="33" fillId="62" borderId="13" applyAlignment="1" applyProtection="1" pivotButton="0" quotePrefix="0" xfId="1">
      <alignment vertical="center" wrapText="1"/>
      <protection locked="0" hidden="0"/>
    </xf>
    <xf numFmtId="49" fontId="5" fillId="0" borderId="13" applyAlignment="1" applyProtection="1" pivotButton="0" quotePrefix="0" xfId="1">
      <alignment vertical="center" wrapText="1"/>
      <protection locked="0" hidden="0"/>
    </xf>
    <xf numFmtId="0" fontId="5" fillId="0" borderId="13" applyAlignment="1" applyProtection="1" pivotButton="0" quotePrefix="0" xfId="1">
      <alignment vertical="center" wrapText="1"/>
      <protection locked="0" hidden="0"/>
    </xf>
    <xf numFmtId="14" fontId="14" fillId="19" borderId="0" applyAlignment="1" applyProtection="1" pivotButton="0" quotePrefix="0" xfId="1">
      <alignment vertical="center" wrapText="1"/>
      <protection locked="0" hidden="0"/>
    </xf>
    <xf numFmtId="165" fontId="5" fillId="0" borderId="13" applyAlignment="1" applyProtection="1" pivotButton="0" quotePrefix="0" xfId="1">
      <alignment vertical="center" wrapText="1"/>
      <protection locked="0" hidden="0"/>
    </xf>
    <xf numFmtId="0" fontId="34" fillId="60" borderId="13" applyAlignment="1" applyProtection="1" pivotButton="0" quotePrefix="0" xfId="1">
      <alignment vertical="center" wrapText="1"/>
      <protection locked="0" hidden="0"/>
    </xf>
    <xf numFmtId="0" fontId="15" fillId="20" borderId="13" applyAlignment="1" applyProtection="1" pivotButton="0" quotePrefix="0" xfId="1">
      <alignment vertical="center" wrapText="1"/>
      <protection locked="0" hidden="0"/>
    </xf>
    <xf numFmtId="4" fontId="5" fillId="0" borderId="13" applyAlignment="1" applyProtection="1" pivotButton="0" quotePrefix="0" xfId="1">
      <alignment vertical="center" wrapText="1"/>
      <protection locked="0" hidden="0"/>
    </xf>
    <xf numFmtId="0" fontId="14" fillId="21" borderId="13" applyAlignment="1" applyProtection="1" pivotButton="0" quotePrefix="0" xfId="1">
      <alignment vertical="center" wrapText="1"/>
      <protection locked="0" hidden="0"/>
    </xf>
    <xf numFmtId="4" fontId="6" fillId="9" borderId="13" applyAlignment="1" applyProtection="1" pivotButton="0" quotePrefix="0" xfId="1">
      <alignment vertical="center" wrapText="1"/>
      <protection locked="0" hidden="0"/>
    </xf>
    <xf numFmtId="4" fontId="5" fillId="10" borderId="13" applyAlignment="1" applyProtection="1" pivotButton="0" quotePrefix="0" xfId="1">
      <alignment vertical="center" wrapText="1"/>
      <protection locked="0" hidden="0"/>
    </xf>
    <xf numFmtId="0" fontId="5" fillId="11" borderId="13" applyAlignment="1" applyProtection="1" pivotButton="0" quotePrefix="0" xfId="1">
      <alignment vertical="center" wrapText="1"/>
      <protection locked="0" hidden="0"/>
    </xf>
    <xf numFmtId="4" fontId="15" fillId="20" borderId="13" applyAlignment="1" applyProtection="1" pivotButton="0" quotePrefix="0" xfId="1">
      <alignment vertical="center" wrapText="1"/>
      <protection locked="0" hidden="0"/>
    </xf>
    <xf numFmtId="0" fontId="5" fillId="12" borderId="13" applyAlignment="1" applyProtection="1" pivotButton="0" quotePrefix="0" xfId="1">
      <alignment vertical="center" wrapText="1"/>
      <protection locked="0" hidden="0"/>
    </xf>
    <xf numFmtId="4" fontId="5" fillId="12" borderId="13" applyAlignment="1" applyProtection="1" pivotButton="0" quotePrefix="0" xfId="1">
      <alignment vertical="center" wrapText="1"/>
      <protection locked="0" hidden="0"/>
    </xf>
    <xf numFmtId="0" fontId="6" fillId="13" borderId="13" applyAlignment="1" applyProtection="1" pivotButton="0" quotePrefix="0" xfId="1">
      <alignment vertical="center" wrapText="1"/>
      <protection locked="0" hidden="0"/>
    </xf>
    <xf numFmtId="4" fontId="6" fillId="13" borderId="13" applyAlignment="1" applyProtection="1" pivotButton="0" quotePrefix="0" xfId="1">
      <alignment vertical="center" wrapText="1"/>
      <protection locked="0" hidden="0"/>
    </xf>
    <xf numFmtId="0" fontId="33" fillId="64" borderId="13" applyAlignment="1" applyProtection="1" pivotButton="0" quotePrefix="0" xfId="0">
      <alignment vertical="center" wrapText="1"/>
      <protection locked="0" hidden="0"/>
    </xf>
    <xf numFmtId="0" fontId="33" fillId="62" borderId="13" applyAlignment="1" applyProtection="1" pivotButton="0" quotePrefix="0" xfId="0">
      <alignment vertical="center" wrapText="1"/>
      <protection locked="0" hidden="0"/>
    </xf>
    <xf numFmtId="0" fontId="0" fillId="0" borderId="13" applyAlignment="1" applyProtection="1" pivotButton="0" quotePrefix="0" xfId="0">
      <alignment vertical="center" wrapText="1"/>
      <protection locked="0" hidden="0"/>
    </xf>
    <xf numFmtId="0" fontId="33" fillId="63" borderId="13" applyAlignment="1" applyProtection="1" pivotButton="0" quotePrefix="0" xfId="0">
      <alignment vertical="center" wrapText="1"/>
      <protection locked="0" hidden="0"/>
    </xf>
    <xf numFmtId="0" fontId="29" fillId="58" borderId="1" applyAlignment="1" applyProtection="1" pivotButton="0" quotePrefix="0" xfId="0">
      <alignment vertical="center" wrapText="1"/>
      <protection locked="0" hidden="0"/>
    </xf>
    <xf numFmtId="0" fontId="26" fillId="66" borderId="1" applyAlignment="1" applyProtection="1" pivotButton="0" quotePrefix="0" xfId="0">
      <alignment vertical="center" wrapText="1"/>
      <protection locked="0" hidden="0"/>
    </xf>
    <xf numFmtId="165" fontId="37" fillId="69" borderId="13" applyAlignment="1" applyProtection="1" pivotButton="0" quotePrefix="0" xfId="1">
      <alignment vertical="center" wrapText="1"/>
      <protection locked="0" hidden="0"/>
    </xf>
    <xf numFmtId="165" fontId="38" fillId="69" borderId="13" applyAlignment="1" applyProtection="1" pivotButton="0" quotePrefix="0" xfId="1">
      <alignment vertical="center" wrapText="1"/>
      <protection locked="0" hidden="0"/>
    </xf>
    <xf numFmtId="0" fontId="35" fillId="68" borderId="13" applyAlignment="1" applyProtection="1" pivotButton="0" quotePrefix="0" xfId="1">
      <alignment vertical="center" wrapText="1"/>
      <protection locked="0" hidden="0"/>
    </xf>
    <xf numFmtId="0" fontId="36" fillId="69" borderId="13" applyAlignment="1" applyProtection="1" pivotButton="0" quotePrefix="0" xfId="1">
      <alignment vertical="center" wrapText="1"/>
      <protection locked="0" hidden="0"/>
    </xf>
    <xf numFmtId="0" fontId="0" fillId="0" borderId="0" applyAlignment="1" applyProtection="1" pivotButton="0" quotePrefix="0" xfId="0">
      <alignment vertical="center" wrapText="1"/>
      <protection locked="0" hidden="0"/>
    </xf>
    <xf numFmtId="4" fontId="17" fillId="18" borderId="0" applyAlignment="1" applyProtection="1" pivotButton="0" quotePrefix="0" xfId="1">
      <alignment vertical="center" wrapText="1"/>
      <protection locked="0" hidden="0"/>
    </xf>
    <xf numFmtId="10" fontId="17" fillId="18" borderId="0" applyAlignment="1" applyProtection="1" pivotButton="0" quotePrefix="0" xfId="1">
      <alignment vertical="center" wrapText="1"/>
      <protection locked="0" hidden="0"/>
    </xf>
    <xf numFmtId="0" fontId="0" fillId="0" borderId="0" applyAlignment="1" pivotButton="0" quotePrefix="0" xfId="0">
      <alignment vertical="center" wrapText="1"/>
    </xf>
    <xf numFmtId="0" fontId="17" fillId="44" borderId="0" applyAlignment="1" applyProtection="1" pivotButton="0" quotePrefix="0" xfId="1">
      <alignment vertical="center" wrapText="1"/>
      <protection locked="0" hidden="0"/>
    </xf>
    <xf numFmtId="10" fontId="17" fillId="45" borderId="0" applyAlignment="1" applyProtection="1" pivotButton="0" quotePrefix="0" xfId="1">
      <alignment vertical="center" wrapText="1"/>
      <protection locked="0" hidden="0"/>
    </xf>
    <xf numFmtId="1" fontId="16" fillId="29" borderId="0" applyAlignment="1" applyProtection="1" pivotButton="0" quotePrefix="0" xfId="1">
      <alignment vertical="center" wrapText="1"/>
      <protection locked="0" hidden="0"/>
    </xf>
    <xf numFmtId="0" fontId="43" fillId="74" borderId="0" applyAlignment="1" applyProtection="1" pivotButton="0" quotePrefix="0" xfId="0">
      <alignment vertical="center" wrapText="1"/>
      <protection locked="0" hidden="0"/>
    </xf>
    <xf numFmtId="0" fontId="44" fillId="74" borderId="0" applyAlignment="1" applyProtection="1" pivotButton="0" quotePrefix="0" xfId="0">
      <alignment vertical="center" wrapText="1"/>
      <protection locked="0" hidden="0"/>
    </xf>
    <xf numFmtId="0" fontId="42" fillId="72" borderId="0" applyAlignment="1" pivotButton="0" quotePrefix="0" xfId="0">
      <alignment vertical="center" wrapText="1"/>
    </xf>
    <xf numFmtId="0" fontId="17" fillId="29" borderId="0" applyAlignment="1" applyProtection="1" pivotButton="0" quotePrefix="0" xfId="1">
      <alignment vertical="center" wrapText="1"/>
      <protection locked="0" hidden="0"/>
    </xf>
    <xf numFmtId="0" fontId="16" fillId="28" borderId="0" applyAlignment="1" applyProtection="1" pivotButton="0" quotePrefix="0" xfId="1">
      <alignment vertical="center" wrapText="1"/>
      <protection locked="0" hidden="0"/>
    </xf>
    <xf numFmtId="0" fontId="17" fillId="30" borderId="0" applyAlignment="1" applyProtection="1" pivotButton="0" quotePrefix="0" xfId="1">
      <alignment vertical="center" wrapText="1"/>
      <protection locked="0" hidden="0"/>
    </xf>
    <xf numFmtId="0" fontId="17" fillId="31" borderId="0" applyAlignment="1" applyProtection="1" pivotButton="0" quotePrefix="0" xfId="1">
      <alignment vertical="center" wrapText="1"/>
      <protection locked="0" hidden="0"/>
    </xf>
    <xf numFmtId="0" fontId="17" fillId="34" borderId="0" applyAlignment="1" applyProtection="1" pivotButton="0" quotePrefix="0" xfId="1">
      <alignment vertical="center" wrapText="1"/>
      <protection locked="0" hidden="0"/>
    </xf>
    <xf numFmtId="14" fontId="17" fillId="35" borderId="0" applyAlignment="1" applyProtection="1" pivotButton="0" quotePrefix="0" xfId="1">
      <alignment vertical="center" wrapText="1"/>
      <protection locked="0" hidden="0"/>
    </xf>
    <xf numFmtId="0" fontId="17" fillId="35" borderId="0" applyAlignment="1" applyProtection="1" pivotButton="0" quotePrefix="0" xfId="1">
      <alignment vertical="center" wrapText="1"/>
      <protection locked="0" hidden="0"/>
    </xf>
    <xf numFmtId="2" fontId="17" fillId="35" borderId="0" applyAlignment="1" applyProtection="1" pivotButton="0" quotePrefix="0" xfId="1">
      <alignment vertical="center" wrapText="1"/>
      <protection locked="0" hidden="0"/>
    </xf>
    <xf numFmtId="0" fontId="16" fillId="29" borderId="0" applyAlignment="1" applyProtection="1" pivotButton="0" quotePrefix="0" xfId="1">
      <alignment vertical="center" wrapText="1"/>
      <protection locked="0" hidden="0"/>
    </xf>
    <xf numFmtId="164" fontId="17" fillId="35" borderId="0" applyAlignment="1" applyProtection="1" pivotButton="0" quotePrefix="0" xfId="1">
      <alignment vertical="center" wrapText="1"/>
      <protection locked="0" hidden="0"/>
    </xf>
    <xf numFmtId="10" fontId="17" fillId="35" borderId="0" applyAlignment="1" applyProtection="1" pivotButton="0" quotePrefix="0" xfId="1">
      <alignment vertical="center" wrapText="1"/>
      <protection locked="0" hidden="0"/>
    </xf>
    <xf numFmtId="0" fontId="16" fillId="30" borderId="0" applyAlignment="1" applyProtection="1" pivotButton="0" quotePrefix="0" xfId="1">
      <alignment vertical="center" wrapText="1"/>
      <protection locked="0" hidden="0"/>
    </xf>
    <xf numFmtId="2" fontId="17" fillId="31" borderId="0" applyAlignment="1" applyProtection="1" pivotButton="0" quotePrefix="0" xfId="1">
      <alignment vertical="center" wrapText="1"/>
      <protection locked="0" hidden="0"/>
    </xf>
    <xf numFmtId="2" fontId="16" fillId="30" borderId="0" applyAlignment="1" applyProtection="1" pivotButton="0" quotePrefix="0" xfId="1">
      <alignment vertical="center" wrapText="1"/>
      <protection locked="0" hidden="0"/>
    </xf>
    <xf numFmtId="1" fontId="17" fillId="35" borderId="0" applyAlignment="1" applyProtection="1" pivotButton="0" quotePrefix="0" xfId="1">
      <alignment vertical="center" wrapText="1"/>
      <protection locked="0" hidden="0"/>
    </xf>
    <xf numFmtId="0" fontId="16" fillId="31" borderId="0" applyAlignment="1" applyProtection="1" pivotButton="0" quotePrefix="0" xfId="1">
      <alignment vertical="center" wrapText="1"/>
      <protection locked="0" hidden="0"/>
    </xf>
    <xf numFmtId="49" fontId="17" fillId="35" borderId="0" applyAlignment="1" applyProtection="1" pivotButton="0" quotePrefix="0" xfId="1">
      <alignment vertical="center" wrapText="1"/>
      <protection locked="0" hidden="0"/>
    </xf>
    <xf numFmtId="2" fontId="16" fillId="29" borderId="0" applyAlignment="1" applyProtection="1" pivotButton="0" quotePrefix="0" xfId="1">
      <alignment vertical="center" wrapText="1"/>
      <protection locked="0" hidden="0"/>
    </xf>
    <xf numFmtId="2" fontId="16" fillId="28" borderId="0" applyAlignment="1" applyProtection="1" pivotButton="0" quotePrefix="0" xfId="1">
      <alignment vertical="center" wrapText="1"/>
      <protection locked="0" hidden="0"/>
    </xf>
    <xf numFmtId="166" fontId="17" fillId="35" borderId="0" applyAlignment="1" applyProtection="1" pivotButton="0" quotePrefix="0" xfId="1">
      <alignment vertical="center" wrapText="1"/>
      <protection locked="0" hidden="0"/>
    </xf>
    <xf numFmtId="0" fontId="39" fillId="65" borderId="0" applyAlignment="1" applyProtection="1" pivotButton="0" quotePrefix="0" xfId="0">
      <alignment vertical="center" wrapText="1"/>
      <protection locked="0" hidden="0"/>
    </xf>
    <xf numFmtId="0" fontId="0" fillId="65" borderId="0" applyAlignment="1" applyProtection="1" pivotButton="0" quotePrefix="0" xfId="0">
      <alignment vertical="center" wrapText="1"/>
      <protection locked="0" hidden="0"/>
    </xf>
    <xf numFmtId="0" fontId="10" fillId="25" borderId="0" applyAlignment="1" applyProtection="1" pivotButton="0" quotePrefix="0" xfId="1">
      <alignment vertical="center" wrapText="1"/>
      <protection locked="0" hidden="0"/>
    </xf>
    <xf numFmtId="0" fontId="2" fillId="6" borderId="0" applyAlignment="1" applyProtection="1" pivotButton="0" quotePrefix="0" xfId="1">
      <alignment vertical="center" wrapText="1"/>
      <protection locked="0" hidden="0"/>
    </xf>
    <xf numFmtId="0" fontId="28" fillId="55" borderId="8" applyAlignment="1" applyProtection="1" pivotButton="0" quotePrefix="0" xfId="0">
      <alignment vertical="center" wrapText="1"/>
      <protection locked="0" hidden="0"/>
    </xf>
    <xf numFmtId="0" fontId="28" fillId="55" borderId="9" applyAlignment="1" applyProtection="1" pivotButton="0" quotePrefix="0" xfId="0">
      <alignment vertical="center" wrapText="1"/>
      <protection locked="0" hidden="0"/>
    </xf>
    <xf numFmtId="0" fontId="28" fillId="55" borderId="10" applyAlignment="1" applyProtection="1" pivotButton="0" quotePrefix="0" xfId="0">
      <alignment vertical="center" wrapText="1"/>
      <protection locked="0" hidden="0"/>
    </xf>
    <xf numFmtId="0" fontId="27" fillId="54" borderId="1" applyAlignment="1" applyProtection="1" pivotButton="0" quotePrefix="0" xfId="0">
      <alignment vertical="center" wrapText="1"/>
      <protection locked="0" hidden="0"/>
    </xf>
    <xf numFmtId="0" fontId="0" fillId="66" borderId="0" applyAlignment="1" applyProtection="1" pivotButton="0" quotePrefix="0" xfId="0">
      <alignment vertical="center" wrapText="1"/>
      <protection locked="0" hidden="0"/>
    </xf>
    <xf numFmtId="0" fontId="31" fillId="0" borderId="0" applyAlignment="1" applyProtection="1" pivotButton="0" quotePrefix="0" xfId="0">
      <alignment vertical="center" wrapText="1"/>
      <protection locked="0" hidden="0"/>
    </xf>
    <xf numFmtId="10" fontId="10" fillId="20" borderId="0" applyAlignment="1" applyProtection="1" pivotButton="0" quotePrefix="0" xfId="1">
      <alignment vertical="center" wrapText="1"/>
      <protection locked="0" hidden="0"/>
    </xf>
    <xf numFmtId="0" fontId="2" fillId="4" borderId="0" applyAlignment="1" applyProtection="1" pivotButton="0" quotePrefix="0" xfId="1">
      <alignment vertical="center" wrapText="1"/>
      <protection locked="0" hidden="0"/>
    </xf>
    <xf numFmtId="1" fontId="10" fillId="20" borderId="0" applyAlignment="1" applyProtection="1" pivotButton="0" quotePrefix="0" xfId="1">
      <alignment vertical="center" wrapText="1"/>
      <protection locked="0" hidden="0"/>
    </xf>
    <xf numFmtId="1" fontId="17" fillId="37" borderId="0" applyAlignment="1" applyProtection="1" pivotButton="0" quotePrefix="0" xfId="1">
      <alignment vertical="center" wrapText="1"/>
      <protection locked="0" hidden="0"/>
    </xf>
    <xf numFmtId="0" fontId="10" fillId="22" borderId="0" applyAlignment="1" applyProtection="1" pivotButton="0" quotePrefix="0" xfId="1">
      <alignment vertical="center" wrapText="1"/>
      <protection locked="0" hidden="0"/>
    </xf>
    <xf numFmtId="14" fontId="10" fillId="22" borderId="0" applyAlignment="1" applyProtection="1" pivotButton="0" quotePrefix="0" xfId="1">
      <alignment vertical="center" wrapText="1"/>
      <protection locked="0" hidden="0"/>
    </xf>
    <xf numFmtId="4" fontId="10" fillId="20" borderId="0" applyAlignment="1" applyProtection="1" pivotButton="0" quotePrefix="0" xfId="1">
      <alignment vertical="center" wrapText="1"/>
      <protection locked="0" hidden="0"/>
    </xf>
    <xf numFmtId="164" fontId="10" fillId="20" borderId="0" applyAlignment="1" applyProtection="1" pivotButton="0" quotePrefix="0" xfId="1">
      <alignment vertical="center" wrapText="1"/>
      <protection locked="0" hidden="0"/>
    </xf>
    <xf numFmtId="10" fontId="10" fillId="18" borderId="0" applyAlignment="1" applyProtection="1" pivotButton="0" quotePrefix="0" xfId="1">
      <alignment vertical="center" wrapText="1"/>
      <protection locked="0" hidden="0"/>
    </xf>
    <xf numFmtId="0" fontId="10" fillId="18" borderId="0" applyAlignment="1" applyProtection="1" pivotButton="0" quotePrefix="0" xfId="1">
      <alignment vertical="center" wrapText="1"/>
      <protection locked="0" hidden="0"/>
    </xf>
    <xf numFmtId="0" fontId="9" fillId="17" borderId="0" applyAlignment="1" applyProtection="1" pivotButton="0" quotePrefix="0" xfId="1">
      <alignment vertical="center" wrapText="1"/>
      <protection locked="0" hidden="0"/>
    </xf>
    <xf numFmtId="0" fontId="17" fillId="45" borderId="0" applyAlignment="1" applyProtection="1" pivotButton="0" quotePrefix="0" xfId="1">
      <alignment vertical="center" wrapText="1"/>
      <protection locked="0" hidden="0"/>
    </xf>
    <xf numFmtId="4" fontId="17" fillId="45" borderId="0" applyAlignment="1" applyProtection="1" pivotButton="0" quotePrefix="0" xfId="1">
      <alignment vertical="center" wrapText="1"/>
      <protection locked="0" hidden="0"/>
    </xf>
    <xf numFmtId="0" fontId="3" fillId="23" borderId="0" applyAlignment="1" applyProtection="1" pivotButton="0" quotePrefix="0" xfId="1">
      <alignment vertical="center" wrapText="1"/>
      <protection locked="0" hidden="0"/>
    </xf>
    <xf numFmtId="0" fontId="10" fillId="24" borderId="0" applyAlignment="1" applyProtection="1" pivotButton="0" quotePrefix="0" xfId="1">
      <alignment vertical="center" wrapText="1"/>
      <protection locked="0" hidden="0"/>
    </xf>
    <xf numFmtId="0" fontId="13" fillId="26" borderId="0" applyAlignment="1" applyProtection="1" pivotButton="0" quotePrefix="0" xfId="1">
      <alignment vertical="center" wrapText="1"/>
      <protection locked="0" hidden="0"/>
    </xf>
    <xf numFmtId="0" fontId="8" fillId="15" borderId="0" applyAlignment="1" applyProtection="1" pivotButton="0" quotePrefix="0" xfId="1">
      <alignment vertical="center" wrapText="1"/>
      <protection locked="0" hidden="0"/>
    </xf>
    <xf numFmtId="0" fontId="0" fillId="16" borderId="0" applyAlignment="1" applyProtection="1" pivotButton="0" quotePrefix="0" xfId="1">
      <alignment vertical="center" wrapText="1"/>
      <protection locked="0" hidden="0"/>
    </xf>
    <xf numFmtId="0" fontId="30" fillId="56" borderId="1" applyAlignment="1" applyProtection="1" pivotButton="0" quotePrefix="0" xfId="0">
      <alignment vertical="center" wrapText="1"/>
      <protection locked="0" hidden="0"/>
    </xf>
    <xf numFmtId="0" fontId="12" fillId="76" borderId="0" applyAlignment="1" applyProtection="1" pivotButton="0" quotePrefix="0" xfId="1">
      <alignment vertical="center" wrapText="1"/>
      <protection locked="0" hidden="0"/>
    </xf>
    <xf numFmtId="2" fontId="12" fillId="76" borderId="0" applyAlignment="1" applyProtection="1" pivotButton="0" quotePrefix="0" xfId="1">
      <alignment vertical="center" wrapText="1"/>
      <protection locked="0" hidden="0"/>
    </xf>
    <xf numFmtId="4" fontId="12" fillId="76" borderId="0" applyAlignment="1" applyProtection="1" pivotButton="0" quotePrefix="0" xfId="1">
      <alignment vertical="center" wrapText="1"/>
      <protection locked="0" hidden="0"/>
    </xf>
    <xf numFmtId="1" fontId="12" fillId="76" borderId="0" applyAlignment="1" applyProtection="1" pivotButton="0" quotePrefix="0" xfId="1">
      <alignment vertical="center" wrapText="1"/>
      <protection locked="0" hidden="0"/>
    </xf>
    <xf numFmtId="4" fontId="12" fillId="75" borderId="0" applyAlignment="1" applyProtection="1" pivotButton="0" quotePrefix="0" xfId="1">
      <alignment vertical="center" wrapText="1"/>
      <protection locked="0" hidden="0"/>
    </xf>
    <xf numFmtId="0" fontId="0" fillId="75" borderId="0" applyAlignment="1" pivotButton="0" quotePrefix="0" xfId="0">
      <alignment vertical="center" wrapText="1"/>
    </xf>
    <xf numFmtId="0" fontId="12" fillId="75" borderId="0" applyAlignment="1" applyProtection="1" pivotButton="0" quotePrefix="0" xfId="1">
      <alignment vertical="center" wrapText="1"/>
      <protection locked="0" hidden="0"/>
    </xf>
    <xf numFmtId="0" fontId="44" fillId="0" borderId="0" applyAlignment="1" pivotButton="0" quotePrefix="0" xfId="0">
      <alignment vertical="center" wrapText="1"/>
    </xf>
    <xf numFmtId="0" fontId="22" fillId="67" borderId="1" applyAlignment="1" applyProtection="1" pivotButton="0" quotePrefix="0" xfId="0">
      <alignment horizontal="left" vertical="center" wrapText="1"/>
      <protection locked="0" hidden="0"/>
    </xf>
    <xf numFmtId="0" fontId="24" fillId="52" borderId="1" applyAlignment="1" applyProtection="1" pivotButton="0" quotePrefix="0" xfId="0">
      <alignment horizontal="left" vertical="center" wrapText="1"/>
      <protection locked="0" hidden="0"/>
    </xf>
    <xf numFmtId="0" fontId="23" fillId="49" borderId="4" applyAlignment="1" applyProtection="1" pivotButton="0" quotePrefix="0" xfId="0">
      <alignment horizontal="left" vertical="center" wrapText="1"/>
      <protection locked="0" hidden="0"/>
    </xf>
    <xf numFmtId="0" fontId="21" fillId="51" borderId="6" applyAlignment="1" applyProtection="1" pivotButton="0" quotePrefix="0" xfId="0">
      <alignment horizontal="left" vertical="center" wrapText="1"/>
      <protection locked="0" hidden="0"/>
    </xf>
    <xf numFmtId="0" fontId="24" fillId="48" borderId="3" applyAlignment="1" applyProtection="1" pivotButton="0" quotePrefix="0" xfId="0">
      <alignment horizontal="left" vertical="center" wrapText="1"/>
      <protection locked="0" hidden="0"/>
    </xf>
    <xf numFmtId="0" fontId="17" fillId="41" borderId="0" applyAlignment="1" applyProtection="1" pivotButton="0" quotePrefix="0" xfId="1">
      <alignment horizontal="left" vertical="center" wrapText="1"/>
      <protection locked="0" hidden="0"/>
    </xf>
    <xf numFmtId="167" fontId="17" fillId="18" borderId="0" applyAlignment="1" applyProtection="1" pivotButton="0" quotePrefix="0" xfId="1">
      <alignment horizontal="left" vertical="center" wrapText="1"/>
      <protection locked="0" hidden="0"/>
    </xf>
    <xf numFmtId="0" fontId="17" fillId="43" borderId="0" applyAlignment="1" applyProtection="1" pivotButton="0" quotePrefix="0" xfId="1">
      <alignment horizontal="left" vertical="center" wrapText="1"/>
      <protection locked="0" hidden="0"/>
    </xf>
    <xf numFmtId="164" fontId="17" fillId="18" borderId="0" applyAlignment="1" applyProtection="1" pivotButton="0" quotePrefix="0" xfId="1">
      <alignment horizontal="left" vertical="center" wrapText="1"/>
      <protection locked="0" hidden="0"/>
    </xf>
    <xf numFmtId="0" fontId="18" fillId="42" borderId="0" applyAlignment="1" applyProtection="1" pivotButton="0" quotePrefix="0" xfId="1">
      <alignment horizontal="left" vertical="center" wrapText="1"/>
      <protection locked="0" hidden="0"/>
    </xf>
    <xf numFmtId="4" fontId="17" fillId="18" borderId="0" applyAlignment="1" applyProtection="1" pivotButton="0" quotePrefix="0" xfId="1">
      <alignment horizontal="left" vertical="center" wrapText="1"/>
      <protection locked="0" hidden="0"/>
    </xf>
    <xf numFmtId="10" fontId="17" fillId="18" borderId="0" applyAlignment="1" applyProtection="1" pivotButton="0" quotePrefix="0" xfId="1">
      <alignment horizontal="left" vertical="center" wrapText="1"/>
      <protection locked="0" hidden="0"/>
    </xf>
    <xf numFmtId="0" fontId="0" fillId="0" borderId="0" applyAlignment="1" pivotButton="0" quotePrefix="0" xfId="0">
      <alignment horizontal="left" vertical="center" wrapText="1"/>
    </xf>
    <xf numFmtId="164" fontId="17" fillId="34" borderId="0" applyAlignment="1" applyProtection="1" pivotButton="0" quotePrefix="0" xfId="1">
      <alignment horizontal="left" vertical="center" wrapText="1"/>
      <protection locked="0" hidden="0"/>
    </xf>
    <xf numFmtId="10" fontId="24" fillId="48" borderId="3" applyAlignment="1" applyProtection="1" pivotButton="0" quotePrefix="0" xfId="0">
      <alignment horizontal="left" vertical="center" wrapText="1"/>
      <protection locked="0" hidden="0"/>
    </xf>
    <xf numFmtId="0" fontId="25" fillId="50" borderId="7" applyAlignment="1" applyProtection="1" pivotButton="0" quotePrefix="0" xfId="0">
      <alignment horizontal="left" vertical="center" wrapText="1"/>
      <protection locked="0" hidden="0"/>
    </xf>
    <xf numFmtId="0" fontId="25" fillId="50" borderId="5" applyAlignment="1" applyProtection="1" pivotButton="0" quotePrefix="0" xfId="0">
      <alignment horizontal="left" vertical="center" wrapText="1"/>
      <protection locked="0" hidden="0"/>
    </xf>
    <xf numFmtId="1" fontId="17" fillId="18" borderId="0" applyAlignment="1" applyProtection="1" pivotButton="0" quotePrefix="0" xfId="1">
      <alignment horizontal="left" vertical="center" wrapText="1"/>
      <protection locked="0" hidden="0"/>
    </xf>
    <xf numFmtId="1" fontId="17" fillId="34" borderId="0" applyAlignment="1" applyProtection="1" pivotButton="0" quotePrefix="0" xfId="1">
      <alignment horizontal="left" vertical="center" wrapText="1"/>
      <protection locked="0" hidden="0"/>
    </xf>
    <xf numFmtId="4" fontId="17" fillId="34" borderId="0" applyAlignment="1" applyProtection="1" pivotButton="0" quotePrefix="0" xfId="1">
      <alignment horizontal="left" vertical="center" wrapText="1"/>
      <protection locked="0" hidden="0"/>
    </xf>
    <xf numFmtId="0" fontId="17" fillId="18" borderId="0" applyAlignment="1" applyProtection="1" pivotButton="0" quotePrefix="0" xfId="1">
      <alignment horizontal="left" vertical="center" wrapText="1"/>
      <protection locked="0" hidden="0"/>
    </xf>
    <xf numFmtId="49" fontId="17" fillId="34" borderId="0" applyAlignment="1" applyProtection="1" pivotButton="0" quotePrefix="0" xfId="1">
      <alignment horizontal="left" vertical="center" wrapText="1"/>
      <protection locked="0" hidden="0"/>
    </xf>
    <xf numFmtId="10" fontId="24" fillId="75" borderId="3" applyAlignment="1" applyProtection="1" pivotButton="0" quotePrefix="0" xfId="0">
      <alignment horizontal="left" vertical="center" wrapText="1"/>
      <protection locked="0" hidden="0"/>
    </xf>
    <xf numFmtId="0" fontId="0" fillId="0" borderId="0" applyAlignment="1" applyProtection="1" pivotButton="0" quotePrefix="0" xfId="0">
      <alignment horizontal="left" vertical="center" wrapText="1"/>
      <protection locked="0" hidden="0"/>
    </xf>
    <xf numFmtId="0" fontId="23" fillId="47" borderId="2" applyAlignment="1" applyProtection="1" pivotButton="0" quotePrefix="0" xfId="0">
      <alignment horizontal="left" vertical="center" wrapText="1"/>
      <protection locked="0" hidden="0"/>
    </xf>
    <xf numFmtId="0" fontId="17" fillId="44" borderId="0" applyAlignment="1" applyProtection="1" pivotButton="0" quotePrefix="0" xfId="1">
      <alignment horizontal="left" vertical="center" wrapText="1"/>
      <protection locked="0" hidden="0"/>
    </xf>
    <xf numFmtId="10" fontId="17" fillId="45" borderId="0" applyAlignment="1" applyProtection="1" pivotButton="0" quotePrefix="0" xfId="1">
      <alignment horizontal="left" vertical="center" wrapText="1"/>
      <protection locked="0" hidden="0"/>
    </xf>
    <xf numFmtId="10" fontId="17" fillId="44" borderId="0" applyAlignment="1" applyProtection="1" pivotButton="0" quotePrefix="0" xfId="1">
      <alignment horizontal="left" vertical="center" wrapText="1"/>
      <protection locked="0" hidden="0"/>
    </xf>
    <xf numFmtId="2" fontId="24" fillId="48" borderId="3" applyAlignment="1" applyProtection="1" pivotButton="0" quotePrefix="0" xfId="0">
      <alignment horizontal="left" vertical="center" wrapText="1"/>
      <protection locked="0" hidden="0"/>
    </xf>
    <xf numFmtId="1" fontId="24" fillId="48" borderId="3" applyAlignment="1" applyProtection="1" pivotButton="0" quotePrefix="0" xfId="0">
      <alignment horizontal="left" vertical="center" wrapText="1"/>
      <protection locked="0" hidden="0"/>
    </xf>
    <xf numFmtId="1" fontId="23" fillId="47" borderId="2" applyAlignment="1" applyProtection="1" pivotButton="0" quotePrefix="0" xfId="0">
      <alignment horizontal="left" vertical="center" wrapText="1"/>
      <protection locked="0" hidden="0"/>
    </xf>
    <xf numFmtId="1" fontId="16" fillId="29" borderId="0" applyAlignment="1" applyProtection="1" pivotButton="0" quotePrefix="0" xfId="1">
      <alignment horizontal="left" vertical="center" wrapText="1"/>
      <protection locked="0" hidden="0"/>
    </xf>
    <xf numFmtId="0" fontId="17" fillId="34" borderId="0" applyAlignment="1" applyProtection="1" pivotButton="0" quotePrefix="0" xfId="0">
      <alignment horizontal="left" vertical="center" wrapText="1"/>
      <protection locked="0" hidden="0"/>
    </xf>
    <xf numFmtId="0" fontId="40" fillId="0" borderId="0" applyAlignment="1" applyProtection="1" pivotButton="0" quotePrefix="0" xfId="0">
      <alignment horizontal="left" vertical="center" wrapText="1"/>
      <protection locked="0" hidden="0"/>
    </xf>
    <xf numFmtId="0" fontId="16" fillId="67" borderId="0" applyAlignment="1" applyProtection="1" pivotButton="0" quotePrefix="0" xfId="0">
      <alignment horizontal="left" vertical="center" wrapText="1"/>
      <protection locked="0" hidden="0"/>
    </xf>
    <xf numFmtId="0" fontId="0" fillId="73" borderId="0" applyAlignment="1" applyProtection="1" pivotButton="0" quotePrefix="0" xfId="0">
      <alignment horizontal="left" vertical="center" wrapText="1"/>
      <protection locked="0" hidden="0"/>
    </xf>
    <xf numFmtId="0" fontId="16" fillId="30" borderId="0" applyAlignment="1" applyProtection="1" pivotButton="0" quotePrefix="0" xfId="0">
      <alignment horizontal="left" vertical="center" wrapText="1"/>
      <protection locked="0" hidden="0"/>
    </xf>
    <xf numFmtId="0" fontId="16" fillId="22" borderId="0" applyAlignment="1" applyProtection="1" pivotButton="0" quotePrefix="0" xfId="0">
      <alignment horizontal="left" vertical="center" wrapText="1"/>
      <protection locked="0" hidden="0"/>
    </xf>
    <xf numFmtId="0" fontId="40" fillId="73" borderId="0" applyAlignment="1" applyProtection="1" pivotButton="0" quotePrefix="0" xfId="0">
      <alignment horizontal="left" vertical="center" wrapText="1"/>
      <protection locked="0" hidden="0"/>
    </xf>
    <xf numFmtId="0" fontId="16" fillId="68" borderId="0" applyAlignment="1" applyProtection="1" pivotButton="0" quotePrefix="0" xfId="0">
      <alignment horizontal="left" vertical="center" wrapText="1"/>
      <protection locked="0" hidden="0"/>
    </xf>
    <xf numFmtId="0" fontId="45" fillId="76" borderId="0" applyAlignment="1" applyProtection="1" pivotButton="0" quotePrefix="0" xfId="0">
      <alignment horizontal="left" vertical="center" wrapText="1"/>
      <protection locked="0" hidden="0"/>
    </xf>
    <xf numFmtId="0" fontId="18" fillId="79" borderId="18" applyAlignment="1" applyProtection="1" pivotButton="0" quotePrefix="0" xfId="0">
      <alignment horizontal="left" vertical="center" wrapText="1"/>
      <protection locked="0" hidden="0"/>
    </xf>
    <xf numFmtId="0" fontId="43" fillId="74" borderId="0" applyAlignment="1" applyProtection="1" pivotButton="0" quotePrefix="0" xfId="0">
      <alignment horizontal="left" vertical="center" wrapText="1"/>
      <protection locked="0" hidden="0"/>
    </xf>
    <xf numFmtId="0" fontId="44" fillId="74" borderId="0" applyAlignment="1" applyProtection="1" pivotButton="0" quotePrefix="0" xfId="0">
      <alignment horizontal="left" vertical="center" wrapText="1"/>
      <protection locked="0" hidden="0"/>
    </xf>
    <xf numFmtId="0" fontId="43" fillId="74" borderId="0" applyAlignment="1" pivotButton="0" quotePrefix="0" xfId="0">
      <alignment horizontal="left" vertical="center" wrapText="1"/>
    </xf>
    <xf numFmtId="0" fontId="44" fillId="74" borderId="0" applyAlignment="1" pivotButton="0" quotePrefix="0" xfId="0">
      <alignment horizontal="left" vertical="center" wrapText="1"/>
    </xf>
    <xf numFmtId="0" fontId="22" fillId="21" borderId="1" applyAlignment="1" applyProtection="1" pivotButton="0" quotePrefix="0" xfId="0">
      <alignment horizontal="left" vertical="center" wrapText="1"/>
      <protection locked="0" hidden="0"/>
    </xf>
    <xf numFmtId="0" fontId="29" fillId="75" borderId="1" applyAlignment="1" applyProtection="1" pivotButton="0" quotePrefix="0" xfId="0">
      <alignment horizontal="left" vertical="center" wrapText="1"/>
      <protection locked="0" hidden="0"/>
    </xf>
    <xf numFmtId="0" fontId="29" fillId="75" borderId="3" applyAlignment="1" applyProtection="1" pivotButton="0" quotePrefix="0" xfId="0">
      <alignment horizontal="left" vertical="center" wrapText="1"/>
      <protection locked="0" hidden="0"/>
    </xf>
    <xf numFmtId="0" fontId="29" fillId="57" borderId="3" applyAlignment="1" applyProtection="1" pivotButton="0" quotePrefix="0" xfId="0">
      <alignment horizontal="left" vertical="center" wrapText="1"/>
      <protection locked="0" hidden="0"/>
    </xf>
    <xf numFmtId="0" fontId="29" fillId="57" borderId="1" applyAlignment="1" applyProtection="1" pivotButton="0" quotePrefix="0" xfId="0">
      <alignment horizontal="left" vertical="center" wrapText="1"/>
      <protection locked="0" hidden="0"/>
    </xf>
    <xf numFmtId="0" fontId="29" fillId="75" borderId="4" applyAlignment="1" applyProtection="1" pivotButton="0" quotePrefix="0" xfId="0">
      <alignment horizontal="left" vertical="center" wrapText="1"/>
      <protection locked="0" hidden="0"/>
    </xf>
    <xf numFmtId="0" fontId="29" fillId="57" borderId="4" applyAlignment="1" applyProtection="1" pivotButton="0" quotePrefix="0" xfId="0">
      <alignment horizontal="left" vertical="center" wrapText="1"/>
      <protection locked="0" hidden="0"/>
    </xf>
    <xf numFmtId="0" fontId="22" fillId="80" borderId="1" applyAlignment="1" applyProtection="1" pivotButton="0" quotePrefix="0" xfId="0">
      <alignment horizontal="left" vertical="center" wrapText="1"/>
      <protection locked="0" hidden="0"/>
    </xf>
    <xf numFmtId="0" fontId="45" fillId="75" borderId="1" applyAlignment="1" applyProtection="1" pivotButton="0" quotePrefix="0" xfId="0">
      <alignment horizontal="left" vertical="center" wrapText="1"/>
      <protection locked="0" hidden="0"/>
    </xf>
    <xf numFmtId="0" fontId="22" fillId="75" borderId="1" applyAlignment="1" applyProtection="1" pivotButton="0" quotePrefix="0" xfId="0">
      <alignment horizontal="left" vertical="center" wrapText="1"/>
      <protection locked="0" hidden="0"/>
    </xf>
    <xf numFmtId="10" fontId="22" fillId="67" borderId="1" applyAlignment="1" applyProtection="1" pivotButton="0" quotePrefix="0" xfId="0">
      <alignment horizontal="left" vertical="center" wrapText="1"/>
      <protection locked="0" hidden="0"/>
    </xf>
    <xf numFmtId="0" fontId="17" fillId="40" borderId="0" applyAlignment="1" applyProtection="1" pivotButton="0" quotePrefix="0" xfId="1">
      <alignment horizontal="left" vertical="center" wrapText="1"/>
      <protection locked="0" hidden="0"/>
    </xf>
    <xf numFmtId="0" fontId="17" fillId="36" borderId="0" applyAlignment="1" applyProtection="1" pivotButton="0" quotePrefix="0" xfId="0">
      <alignment horizontal="left" vertical="center" wrapText="1"/>
      <protection locked="0" hidden="0"/>
    </xf>
    <xf numFmtId="2" fontId="18" fillId="79" borderId="18" applyAlignment="1" applyProtection="1" pivotButton="0" quotePrefix="0" xfId="0">
      <alignment horizontal="left" vertical="center" wrapText="1"/>
      <protection locked="0" hidden="0"/>
    </xf>
    <xf numFmtId="0" fontId="49" fillId="76" borderId="19" applyAlignment="1" applyProtection="1" pivotButton="0" quotePrefix="0" xfId="0">
      <alignment horizontal="left" vertical="center" wrapText="1"/>
      <protection locked="0" hidden="0"/>
    </xf>
    <xf numFmtId="0" fontId="49" fillId="76" borderId="1" applyAlignment="1" applyProtection="1" pivotButton="0" quotePrefix="0" xfId="0">
      <alignment horizontal="left" vertical="center" wrapText="1"/>
      <protection locked="0" hidden="0"/>
    </xf>
    <xf numFmtId="0" fontId="45" fillId="76" borderId="19" applyAlignment="1" pivotButton="0" quotePrefix="0" xfId="0">
      <alignment horizontal="left" vertical="center" wrapText="1"/>
    </xf>
    <xf numFmtId="2" fontId="0" fillId="79" borderId="18" applyAlignment="1" pivotButton="0" quotePrefix="0" xfId="0">
      <alignment horizontal="left" vertical="center" wrapText="1"/>
    </xf>
    <xf numFmtId="2" fontId="0" fillId="76" borderId="19" applyAlignment="1" pivotButton="0" quotePrefix="0" xfId="0">
      <alignment horizontal="left" vertical="center" wrapText="1"/>
    </xf>
    <xf numFmtId="0" fontId="0" fillId="76" borderId="19" applyAlignment="1" pivotButton="0" quotePrefix="0" xfId="0">
      <alignment horizontal="left" vertical="center" wrapText="1"/>
    </xf>
    <xf numFmtId="0" fontId="49" fillId="76" borderId="1" applyAlignment="1" applyProtection="1" pivotButton="0" quotePrefix="0" xfId="0">
      <alignment horizontal="left" vertical="center" wrapText="1"/>
      <protection locked="0" hidden="0"/>
    </xf>
    <xf numFmtId="0" fontId="0" fillId="0" borderId="12" applyProtection="1" pivotButton="0" quotePrefix="0" xfId="0">
      <protection locked="0" hidden="0"/>
    </xf>
    <xf numFmtId="0" fontId="47" fillId="76" borderId="1" applyAlignment="1" applyProtection="1" pivotButton="0" quotePrefix="0" xfId="0">
      <alignment horizontal="left" vertical="center" wrapText="1"/>
      <protection locked="0" hidden="0"/>
    </xf>
    <xf numFmtId="0" fontId="0" fillId="0" borderId="11" applyProtection="1" pivotButton="0" quotePrefix="0" xfId="0">
      <protection locked="0" hidden="0"/>
    </xf>
    <xf numFmtId="0" fontId="48" fillId="78" borderId="0" applyAlignment="1" applyProtection="1" pivotButton="0" quotePrefix="0" xfId="1">
      <alignment horizontal="left" vertical="center" wrapText="1"/>
      <protection locked="0" hidden="0"/>
    </xf>
    <xf numFmtId="0" fontId="0" fillId="0" borderId="0" applyProtection="1" pivotButton="0" quotePrefix="0" xfId="0">
      <protection locked="0" hidden="0"/>
    </xf>
    <xf numFmtId="0" fontId="22" fillId="75" borderId="1" applyAlignment="1" applyProtection="1" pivotButton="0" quotePrefix="0" xfId="0">
      <alignment horizontal="left" vertical="center" wrapText="1"/>
      <protection locked="0" hidden="0"/>
    </xf>
    <xf numFmtId="0" fontId="46" fillId="77" borderId="0" applyAlignment="1" applyProtection="1" pivotButton="0" quotePrefix="0" xfId="1">
      <alignment horizontal="left" vertical="center" wrapText="1"/>
      <protection locked="0" hidden="0"/>
    </xf>
    <xf numFmtId="0" fontId="48" fillId="78" borderId="1" applyAlignment="1" applyProtection="1" pivotButton="0" quotePrefix="0" xfId="0">
      <alignment horizontal="left" vertical="center" wrapText="1"/>
      <protection locked="0" hidden="0"/>
    </xf>
    <xf numFmtId="0" fontId="48" fillId="78" borderId="0" applyAlignment="1" applyProtection="1" pivotButton="0" quotePrefix="0" xfId="0">
      <alignment horizontal="left" vertical="center" wrapText="1"/>
      <protection locked="0" hidden="0"/>
    </xf>
    <xf numFmtId="0" fontId="48" fillId="78" borderId="19" applyAlignment="1" pivotButton="0" quotePrefix="0" xfId="0">
      <alignment horizontal="left" vertical="center" wrapText="1"/>
    </xf>
    <xf numFmtId="0" fontId="26" fillId="75" borderId="1" applyAlignment="1" applyProtection="1" pivotButton="0" quotePrefix="0" xfId="0">
      <alignment horizontal="left" vertical="center" wrapText="1"/>
      <protection locked="0" hidden="0"/>
    </xf>
    <xf numFmtId="0" fontId="41" fillId="71" borderId="0" applyAlignment="1" pivotButton="0" quotePrefix="0" xfId="0">
      <alignment vertical="center" wrapText="1"/>
    </xf>
    <xf numFmtId="0" fontId="0" fillId="0" borderId="0" pivotButton="0" quotePrefix="0" xfId="0"/>
    <xf numFmtId="0" fontId="16" fillId="28" borderId="0" applyAlignment="1" applyProtection="1" pivotButton="0" quotePrefix="0" xfId="1">
      <alignment vertical="center" wrapText="1"/>
      <protection locked="0" hidden="0"/>
    </xf>
    <xf numFmtId="0" fontId="17" fillId="31" borderId="0" applyAlignment="1" applyProtection="1" pivotButton="0" quotePrefix="0" xfId="1">
      <alignment vertical="center" wrapText="1"/>
      <protection locked="0" hidden="0"/>
    </xf>
    <xf numFmtId="0" fontId="17" fillId="29" borderId="0" applyAlignment="1" applyProtection="1" pivotButton="0" quotePrefix="0" xfId="1">
      <alignment vertical="center" wrapText="1"/>
      <protection locked="0" hidden="0"/>
    </xf>
    <xf numFmtId="0" fontId="17" fillId="32" borderId="0" applyAlignment="1" applyProtection="1" pivotButton="0" quotePrefix="0" xfId="1">
      <alignment vertical="center" wrapText="1"/>
      <protection locked="0" hidden="0"/>
    </xf>
    <xf numFmtId="0" fontId="17" fillId="36" borderId="0" applyAlignment="1" applyProtection="1" pivotButton="0" quotePrefix="0" xfId="1">
      <alignment vertical="center" wrapText="1"/>
      <protection locked="0" hidden="0"/>
    </xf>
    <xf numFmtId="0" fontId="17" fillId="30" borderId="0" applyAlignment="1" applyProtection="1" pivotButton="0" quotePrefix="0" xfId="1">
      <alignment vertical="center" wrapText="1"/>
      <protection locked="0" hidden="0"/>
    </xf>
    <xf numFmtId="0" fontId="3" fillId="33" borderId="0" applyAlignment="1" applyProtection="1" pivotButton="0" quotePrefix="0" xfId="1">
      <alignment vertical="center" wrapText="1"/>
      <protection locked="0" hidden="0"/>
    </xf>
    <xf numFmtId="0" fontId="4" fillId="39" borderId="0" applyAlignment="1" applyProtection="1" pivotButton="0" quotePrefix="0" xfId="1">
      <alignment vertical="center" wrapText="1"/>
      <protection locked="0" hidden="0"/>
    </xf>
    <xf numFmtId="0" fontId="3" fillId="3" borderId="0" applyAlignment="1" applyProtection="1" pivotButton="0" quotePrefix="0" xfId="1">
      <alignment vertical="center" wrapText="1"/>
      <protection locked="0" hidden="0"/>
    </xf>
    <xf numFmtId="0" fontId="11" fillId="27" borderId="0" applyAlignment="1" applyProtection="1" pivotButton="0" quotePrefix="0" xfId="1">
      <alignment vertical="center" wrapText="1"/>
      <protection locked="0" hidden="0"/>
    </xf>
    <xf numFmtId="0" fontId="10" fillId="25" borderId="0" applyAlignment="1" applyProtection="1" pivotButton="0" quotePrefix="0" xfId="1">
      <alignment vertical="center" wrapText="1"/>
      <protection locked="0" hidden="0"/>
    </xf>
    <xf numFmtId="0" fontId="1" fillId="23" borderId="0" applyAlignment="1" applyProtection="1" pivotButton="0" quotePrefix="0" xfId="1">
      <alignment vertical="center" wrapText="1"/>
      <protection locked="0" hidden="0"/>
    </xf>
    <xf numFmtId="0" fontId="2" fillId="5" borderId="0" applyAlignment="1" applyProtection="1" pivotButton="0" quotePrefix="0" xfId="1">
      <alignment vertical="center" wrapText="1"/>
      <protection locked="0" hidden="0"/>
    </xf>
    <xf numFmtId="0" fontId="11" fillId="31" borderId="0" applyAlignment="1" applyProtection="1" pivotButton="0" quotePrefix="0" xfId="1">
      <alignment vertical="center" wrapText="1"/>
      <protection locked="0" hidden="0"/>
    </xf>
    <xf numFmtId="0" fontId="12" fillId="22" borderId="0" applyAlignment="1" applyProtection="1" pivotButton="0" quotePrefix="0" xfId="1">
      <alignment vertical="center" wrapText="1"/>
      <protection locked="0" hidden="0"/>
    </xf>
    <xf numFmtId="0" fontId="2" fillId="2" borderId="0" applyAlignment="1" applyProtection="1" pivotButton="0" quotePrefix="0" xfId="1">
      <alignment vertical="center" wrapText="1"/>
      <protection locked="0" hidden="0"/>
    </xf>
    <xf numFmtId="0" fontId="11" fillId="36" borderId="0" applyAlignment="1" applyProtection="1" pivotButton="0" quotePrefix="0" xfId="1">
      <alignment vertical="center" wrapText="1"/>
      <protection locked="0" hidden="0"/>
    </xf>
    <xf numFmtId="0" fontId="10" fillId="20" borderId="0" applyAlignment="1" applyProtection="1" pivotButton="0" quotePrefix="0" xfId="1">
      <alignment vertical="center" wrapText="1"/>
      <protection locked="0" hidden="0"/>
    </xf>
    <xf numFmtId="0" fontId="10" fillId="22" borderId="0" applyAlignment="1" applyProtection="1" pivotButton="0" quotePrefix="0" xfId="1">
      <alignment vertical="center" wrapText="1"/>
      <protection locked="0" hidden="0"/>
    </xf>
    <xf numFmtId="0" fontId="17" fillId="46" borderId="0" applyAlignment="1" applyProtection="1" pivotButton="0" quotePrefix="0" xfId="1">
      <alignment vertical="center" wrapText="1"/>
      <protection locked="0" hidden="0"/>
    </xf>
    <xf numFmtId="0" fontId="3" fillId="7" borderId="0" applyAlignment="1" applyProtection="1" pivotButton="0" quotePrefix="0" xfId="1">
      <alignment vertical="center" wrapText="1"/>
      <protection locked="0" hidden="0"/>
    </xf>
    <xf numFmtId="0" fontId="5" fillId="0" borderId="13" applyAlignment="1" applyProtection="1" pivotButton="0" quotePrefix="0" xfId="1">
      <alignment vertical="center" wrapText="1"/>
      <protection locked="0" hidden="0"/>
    </xf>
    <xf numFmtId="0" fontId="0" fillId="0" borderId="15" applyProtection="1" pivotButton="0" quotePrefix="0" xfId="0">
      <protection locked="0" hidden="0"/>
    </xf>
    <xf numFmtId="0" fontId="0" fillId="63" borderId="13" applyAlignment="1" applyProtection="1" pivotButton="0" quotePrefix="0" xfId="0">
      <alignment vertical="center" wrapTex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0" fillId="0" borderId="14" applyProtection="1" pivotButton="0" quotePrefix="0" xfId="0">
      <protection locked="0" hidden="0"/>
    </xf>
    <xf numFmtId="0" fontId="7" fillId="70" borderId="0" applyAlignment="1" applyProtection="1" pivotButton="0" quotePrefix="0" xfId="1">
      <alignment vertical="center" wrapText="1"/>
      <protection locked="0" hidden="0"/>
    </xf>
    <xf numFmtId="0" fontId="34" fillId="60" borderId="0" applyAlignment="1" applyProtection="1" pivotButton="0" quotePrefix="0" xfId="0">
      <alignment vertical="center" wrapText="1"/>
      <protection locked="0" hidden="0"/>
    </xf>
    <xf numFmtId="0" fontId="32" fillId="60" borderId="0" applyAlignment="1" applyProtection="1" pivotButton="0" quotePrefix="0" xfId="1">
      <alignment vertical="center" wrapText="1"/>
      <protection locked="0" hidden="0"/>
    </xf>
    <xf numFmtId="0" fontId="5" fillId="12" borderId="13" applyAlignment="1" applyProtection="1" pivotButton="0" quotePrefix="0" xfId="1">
      <alignment vertical="center" wrapText="1"/>
      <protection locked="0" hidden="0"/>
    </xf>
    <xf numFmtId="0" fontId="6" fillId="9" borderId="13" applyAlignment="1" applyProtection="1" pivotButton="0" quotePrefix="0" xfId="1">
      <alignment vertical="center" wrapText="1"/>
      <protection locked="0" hidden="0"/>
    </xf>
    <xf numFmtId="0" fontId="11" fillId="61" borderId="0" applyAlignment="1" applyProtection="1" pivotButton="0" quotePrefix="0" xfId="1">
      <alignment vertical="center" wrapText="1"/>
      <protection locked="0" hidden="0"/>
    </xf>
    <xf numFmtId="0" fontId="4" fillId="14" borderId="0" applyAlignment="1" applyProtection="1" pivotButton="0" quotePrefix="0" xfId="1">
      <alignment vertical="center" wrapText="1"/>
      <protection locked="0" hidden="0"/>
    </xf>
    <xf numFmtId="0" fontId="3" fillId="23" borderId="0" applyAlignment="1" applyProtection="1" pivotButton="0" quotePrefix="0" xfId="1">
      <alignment vertical="center" wrapText="1"/>
      <protection locked="0" hidden="0"/>
    </xf>
    <xf numFmtId="0" fontId="11" fillId="38" borderId="0" applyAlignment="1" applyProtection="1" pivotButton="0" quotePrefix="0" xfId="1">
      <alignment vertical="center" wrapText="1"/>
      <protection locked="0" hidden="0"/>
    </xf>
    <xf numFmtId="0" fontId="50" fillId="81" borderId="0" applyAlignment="1" pivotButton="0" quotePrefix="0" xfId="0">
      <alignment horizontal="left" vertical="center" wrapText="1"/>
    </xf>
    <xf numFmtId="0" fontId="51" fillId="82" borderId="25" applyAlignment="1" pivotButton="0" quotePrefix="0" xfId="0">
      <alignment horizontal="left" vertical="center" wrapText="1"/>
    </xf>
    <xf numFmtId="0" fontId="52" fillId="83" borderId="25" applyAlignment="1" pivotButton="0" quotePrefix="0" xfId="0">
      <alignment horizontal="left" vertical="center" wrapText="1"/>
    </xf>
    <xf numFmtId="0" fontId="51" fillId="84" borderId="25" applyAlignment="1" pivotButton="0" quotePrefix="0" xfId="0">
      <alignment horizontal="left" vertical="center" wrapText="1"/>
    </xf>
    <xf numFmtId="0" fontId="0" fillId="85" borderId="26" applyAlignment="1" pivotButton="0" quotePrefix="0" xfId="0">
      <alignment horizontal="left" vertical="center" wrapText="1"/>
    </xf>
    <xf numFmtId="0" fontId="0" fillId="86" borderId="27" applyAlignment="1" pivotButton="0" quotePrefix="0" xfId="0">
      <alignment horizontal="left" vertical="center" wrapText="1"/>
    </xf>
    <xf numFmtId="2" fontId="0" fillId="86" borderId="27" applyAlignment="1" pivotButton="0" quotePrefix="0" xfId="0">
      <alignment horizontal="left" vertical="center" wrapText="1"/>
    </xf>
    <xf numFmtId="0" fontId="53" fillId="87" borderId="25" applyAlignment="1" pivotButton="0" quotePrefix="0" xfId="0">
      <alignment horizontal="left" vertical="center" wrapText="1"/>
    </xf>
    <xf numFmtId="0" fontId="0" fillId="88" borderId="25" applyAlignment="1" pivotButton="0" quotePrefix="0" xfId="0">
      <alignment horizontal="left" vertical="center" wrapText="1"/>
    </xf>
    <xf numFmtId="0" fontId="53" fillId="82" borderId="25" applyAlignment="1" pivotButton="0" quotePrefix="0" xfId="0">
      <alignment horizontal="left" vertical="center" wrapText="1"/>
    </xf>
    <xf numFmtId="0" fontId="0" fillId="85" borderId="25" applyAlignment="1" pivotButton="0" quotePrefix="0" xfId="0">
      <alignment horizontal="left" vertical="center" wrapText="1"/>
    </xf>
    <xf numFmtId="168" fontId="0" fillId="88" borderId="25" applyAlignment="1" pivotButton="0" quotePrefix="0" xfId="0">
      <alignment horizontal="left" vertical="center" wrapText="1"/>
    </xf>
    <xf numFmtId="2" fontId="0" fillId="85" borderId="26" applyAlignment="1" pivotButton="0" quotePrefix="0" xfId="0">
      <alignment horizontal="left" vertical="center" wrapText="1"/>
    </xf>
    <xf numFmtId="2" fontId="0" fillId="88" borderId="25" applyAlignment="1" pivotButton="0" quotePrefix="0" xfId="0">
      <alignment horizontal="left" vertical="center" wrapText="1"/>
    </xf>
    <xf numFmtId="10" fontId="0" fillId="88" borderId="25" applyAlignment="1" pivotButton="0" quotePrefix="0" xfId="0">
      <alignment horizontal="left" vertical="center" wrapText="1"/>
    </xf>
    <xf numFmtId="10" fontId="0" fillId="85" borderId="26" applyAlignment="1" pivotButton="0" quotePrefix="0" xfId="0">
      <alignment horizontal="left" vertical="center" wrapText="1"/>
    </xf>
    <xf numFmtId="0" fontId="0" fillId="82" borderId="25" applyAlignment="1" pivotButton="0" quotePrefix="0" xfId="0">
      <alignment horizontal="left" vertical="center" wrapText="1"/>
    </xf>
    <xf numFmtId="0" fontId="54" fillId="83" borderId="25" applyAlignment="1" pivotButton="0" quotePrefix="0" xfId="0">
      <alignment horizontal="left" vertical="center" wrapText="1"/>
    </xf>
    <xf numFmtId="164" fontId="17" fillId="35" borderId="0" applyAlignment="1" applyProtection="1" pivotButton="0" quotePrefix="0" xfId="1">
      <alignment vertical="center" wrapText="1"/>
      <protection locked="0" hidden="0"/>
    </xf>
    <xf numFmtId="166" fontId="17" fillId="35" borderId="0" applyAlignment="1" applyProtection="1" pivotButton="0" quotePrefix="0" xfId="1">
      <alignment vertical="center" wrapText="1"/>
      <protection locked="0" hidden="0"/>
    </xf>
    <xf numFmtId="164" fontId="10" fillId="20" borderId="0" applyAlignment="1" applyProtection="1" pivotButton="0" quotePrefix="0" xfId="1">
      <alignment vertical="center" wrapText="1"/>
      <protection locked="0" hidden="0"/>
    </xf>
    <xf numFmtId="164" fontId="12" fillId="20" borderId="0" applyAlignment="1" applyProtection="1" pivotButton="0" quotePrefix="0" xfId="1">
      <alignment vertical="center" wrapText="1"/>
      <protection locked="0" hidden="0"/>
    </xf>
    <xf numFmtId="165" fontId="5" fillId="0" borderId="13" applyAlignment="1" applyProtection="1" pivotButton="0" quotePrefix="0" xfId="1">
      <alignment vertical="center" wrapText="1"/>
      <protection locked="0" hidden="0"/>
    </xf>
    <xf numFmtId="165" fontId="37" fillId="69" borderId="13" applyAlignment="1" applyProtection="1" pivotButton="0" quotePrefix="0" xfId="1">
      <alignment vertical="center" wrapText="1"/>
      <protection locked="0" hidden="0"/>
    </xf>
    <xf numFmtId="165" fontId="38" fillId="69" borderId="13" applyAlignment="1" applyProtection="1" pivotButton="0" quotePrefix="0" xfId="1">
      <alignment vertical="center" wrapText="1"/>
      <protection locked="0" hidden="0"/>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Codex</author>
  </authors>
  <commentList>
    <comment ref="O15" authorId="0" shapeId="0">
      <text>
        <t>FOB local logistics is now comprehensive: factory pickup/inland transfer/warehouse entry. Update with actual forwarder/local trucking quote for formal offers.</t>
      </text>
    </comment>
    <comment ref="Q15" authorId="0" shapeId="0">
      <text>
        <t>Includes port local charges, VGM/THC/handling style charges. Use actual port quote when available.</t>
      </text>
    </comment>
    <comment ref="J20" authorId="0" shapeId="0">
      <text>
        <t>Nigeria freight reference is intentionally high. Replace with current forwarder quote before formal quotation.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70AD47"/>
    <outlinePr summaryBelow="1" summaryRight="1"/>
    <pageSetUpPr fitToPage="1"/>
  </sheetPr>
  <dimension ref="A1:M45"/>
  <sheetViews>
    <sheetView showGridLines="0" tabSelected="1" zoomScale="90" workbookViewId="0">
      <pane ySplit="3" topLeftCell="A4" activePane="bottomLeft" state="frozen"/>
      <selection pane="bottomLeft" activeCell="H18" sqref="H18"/>
    </sheetView>
  </sheetViews>
  <sheetFormatPr baseColWidth="8" defaultColWidth="8.6328125" defaultRowHeight="14"/>
  <cols>
    <col width="14" customWidth="1" style="189" min="1" max="1"/>
    <col width="20" customWidth="1" style="189" min="2" max="2"/>
    <col width="14" customWidth="1" style="189" min="3" max="3"/>
    <col width="18" customWidth="1" style="189" min="4" max="4"/>
    <col width="17" customWidth="1" style="189" min="5" max="5"/>
    <col width="20" customWidth="1" style="189" min="6" max="6"/>
    <col width="17" customWidth="1" style="189" min="7" max="7"/>
    <col width="22" customWidth="1" style="189" min="8" max="8"/>
    <col width="16" customWidth="1" style="189" min="9" max="9"/>
    <col width="18" customWidth="1" style="189" min="10" max="10"/>
    <col width="15" customWidth="1" style="189" min="11" max="11"/>
    <col width="18" customWidth="1" style="189" min="12" max="12"/>
    <col width="3" customWidth="1" style="189" min="13" max="13"/>
    <col width="21.26953125" customWidth="1" style="189" min="14" max="14"/>
    <col width="8.6328125" customWidth="1" style="189" min="15" max="23"/>
    <col width="8.6328125" customWidth="1" style="189" min="24" max="16384"/>
  </cols>
  <sheetData>
    <row r="1" ht="31" customHeight="1" s="197">
      <c r="A1" s="234" t="inlineStr">
        <is>
          <t>卫浴陶瓷报价填写首页</t>
        </is>
      </c>
    </row>
    <row r="2" ht="28" customHeight="1" s="197">
      <c r="A2" s="235" t="inlineStr">
        <is>
          <t>按顺序填写：① 必填信息 → ② 产品与成本 → ③ 看右侧结果；下方高级覆盖为空时，系统自动按参数计算。</t>
        </is>
      </c>
    </row>
    <row r="3" ht="22" customHeight="1" s="197">
      <c r="A3" s="236" t="inlineStr">
        <is>
          <t>① 必填信息</t>
        </is>
      </c>
      <c r="E3" s="236" t="inlineStr">
        <is>
          <t>② 产品与成本</t>
        </is>
      </c>
      <c r="I3" s="236" t="inlineStr">
        <is>
          <t>③ 自动结果</t>
        </is>
      </c>
    </row>
    <row r="4" ht="22" customHeight="1" s="197">
      <c r="A4" s="237" t="inlineStr">
        <is>
          <t>* 客户名称</t>
        </is>
      </c>
      <c r="B4" s="238" t="n"/>
      <c r="C4" s="237" t="inlineStr">
        <is>
          <t>* 项目名称</t>
        </is>
      </c>
      <c r="D4" s="238" t="n"/>
      <c r="E4" s="237" t="inlineStr">
        <is>
          <t>* 马桶报价方式</t>
        </is>
      </c>
      <c r="F4" s="239" t="inlineStr">
        <is>
          <t>工厂本体成本直接填</t>
        </is>
      </c>
      <c r="G4" s="237" t="inlineStr">
        <is>
          <t>* 工厂本体成本 RMB/件</t>
        </is>
      </c>
      <c r="H4" s="240" t="n"/>
      <c r="I4" s="241" t="inlineStr">
        <is>
          <t>报价日期</t>
        </is>
      </c>
      <c r="J4" s="242">
        <f>TODAY()</f>
        <v/>
      </c>
      <c r="K4" s="241" t="inlineStr">
        <is>
          <t>报价单号</t>
        </is>
      </c>
      <c r="L4" s="242" t="inlineStr">
        <is>
          <t>QT-YYYYMMDD-001</t>
        </is>
      </c>
    </row>
    <row r="5" ht="22" customHeight="1" s="197">
      <c r="A5" s="243" t="inlineStr">
        <is>
          <t>销售负责人</t>
        </is>
      </c>
      <c r="B5" s="244" t="n"/>
      <c r="C5" s="237" t="inlineStr">
        <is>
          <t>* 型号编号</t>
        </is>
      </c>
      <c r="D5" s="238" t="n"/>
      <c r="E5" s="243" t="inlineStr">
        <is>
          <t>手动装柜量 件/柜</t>
        </is>
      </c>
      <c r="F5" s="240" t="n"/>
      <c r="G5" s="237" t="inlineStr">
        <is>
          <t>* 柜型</t>
        </is>
      </c>
      <c r="H5" s="239" t="inlineStr">
        <is>
          <t>40HQ</t>
        </is>
      </c>
      <c r="I5" s="241" t="inlineStr">
        <is>
          <t>报价币种售价</t>
        </is>
      </c>
      <c r="J5" s="245">
        <f>IF(Input!$I$16="待填写","",Input!$I$6)</f>
        <v/>
      </c>
      <c r="K5" s="241" t="inlineStr">
        <is>
          <t>订单总额</t>
        </is>
      </c>
      <c r="L5" s="245">
        <f>IF(Input!$I$16="待填写","",Input!$I$7)</f>
        <v/>
      </c>
    </row>
    <row r="6" ht="22" customHeight="1" s="197">
      <c r="A6" s="237" t="inlineStr">
        <is>
          <t>* 产品品类</t>
        </is>
      </c>
      <c r="B6" s="238" t="n"/>
      <c r="C6" s="237" t="inlineStr">
        <is>
          <t>* 订单数量</t>
        </is>
      </c>
      <c r="D6" s="246" t="n"/>
      <c r="E6" s="237" t="inlineStr">
        <is>
          <t>* 是否含盖板</t>
        </is>
      </c>
      <c r="F6" s="238" t="inlineStr">
        <is>
          <t>否</t>
        </is>
      </c>
      <c r="G6" s="243" t="inlineStr">
        <is>
          <t>盖板型号/备注</t>
        </is>
      </c>
      <c r="H6" s="244" t="n"/>
      <c r="I6" s="241" t="inlineStr">
        <is>
          <t>RMB 成本</t>
        </is>
      </c>
      <c r="J6" s="247">
        <f>IF(Input!$I$16="待填写","",Input!$I$4)</f>
        <v/>
      </c>
      <c r="K6" s="241" t="inlineStr">
        <is>
          <t>报价币种成本</t>
        </is>
      </c>
      <c r="L6" s="247">
        <f>IF(Input!$I$16="待填写","",Input!$I$5)</f>
        <v/>
      </c>
    </row>
    <row r="7" ht="22" customHeight="1" s="197">
      <c r="A7" s="237" t="inlineStr">
        <is>
          <t>* 目标市场</t>
        </is>
      </c>
      <c r="B7" s="238" t="n"/>
      <c r="C7" s="237" t="inlineStr">
        <is>
          <t>* 贸易条款</t>
        </is>
      </c>
      <c r="D7" s="238" t="n"/>
      <c r="E7" s="243" t="inlineStr">
        <is>
          <t>盖板FOB进仓价</t>
        </is>
      </c>
      <c r="F7" s="240" t="n"/>
      <c r="G7" s="243" t="inlineStr">
        <is>
          <t>水件FOB进仓价</t>
        </is>
      </c>
      <c r="H7" s="240" t="n"/>
      <c r="I7" s="241" t="inlineStr">
        <is>
          <t>毛利率</t>
        </is>
      </c>
      <c r="J7" s="248">
        <f>IF(Input!$I$16="待填写","",Input!$I$8)</f>
        <v/>
      </c>
      <c r="K7" s="241" t="inlineStr">
        <is>
          <t>报价结论</t>
        </is>
      </c>
      <c r="L7" s="242">
        <f>IF(Input!$I$16="","待填写",Input!$I$16)</f>
        <v/>
      </c>
    </row>
    <row r="8" ht="22" customHeight="1" s="197">
      <c r="A8" s="237" t="inlineStr">
        <is>
          <t>* 装运港</t>
        </is>
      </c>
      <c r="B8" s="238" t="n"/>
      <c r="C8" s="237" t="inlineStr">
        <is>
          <t>* 目的港</t>
        </is>
      </c>
      <c r="D8" s="238" t="n"/>
      <c r="E8" s="243" t="inlineStr">
        <is>
          <t>盖板档次</t>
        </is>
      </c>
      <c r="F8" s="244" t="n"/>
      <c r="G8" s="243" t="inlineStr">
        <is>
          <t>铰链要求</t>
        </is>
      </c>
      <c r="H8" s="244" t="n"/>
      <c r="I8" s="241" t="inlineStr">
        <is>
          <t>底线价</t>
        </is>
      </c>
      <c r="J8" s="245">
        <f>IF(Input!$I$16="待填写","",Input!$I$9)</f>
        <v/>
      </c>
      <c r="K8" s="241" t="inlineStr">
        <is>
          <t>审批价</t>
        </is>
      </c>
      <c r="L8" s="245">
        <f>IF(Input!$I$16="待填写","",Input!$I$10)</f>
        <v/>
      </c>
    </row>
    <row r="9" ht="22" customHeight="1" s="197">
      <c r="A9" s="237" t="inlineStr">
        <is>
          <t>* 报价币种</t>
        </is>
      </c>
      <c r="B9" s="238" t="inlineStr">
        <is>
          <t>USD</t>
        </is>
      </c>
      <c r="C9" s="237" t="inlineStr">
        <is>
          <t>* 汇率</t>
        </is>
      </c>
      <c r="D9" s="246" t="n"/>
      <c r="E9" s="243" t="inlineStr">
        <is>
          <t>铰链FOB进仓加价</t>
        </is>
      </c>
      <c r="F9" s="240" t="n"/>
      <c r="G9" s="243" t="inlineStr">
        <is>
          <t>下水/安装件FOB进仓价</t>
        </is>
      </c>
      <c r="H9" s="240" t="n"/>
      <c r="I9" s="241" t="inlineStr">
        <is>
          <t>装柜量</t>
        </is>
      </c>
      <c r="J9" s="242">
        <f>IF(Input!$I$16="待填写","",Input!$I$11)</f>
        <v/>
      </c>
      <c r="K9" s="241" t="inlineStr">
        <is>
          <t>柜数</t>
        </is>
      </c>
      <c r="L9" s="242">
        <f>IF(Input!$I$16="待填写","",Input!$I$12)</f>
        <v/>
      </c>
    </row>
    <row r="10" ht="22" customHeight="1" s="197">
      <c r="A10" s="237" t="inlineStr">
        <is>
          <t>* 有效期</t>
        </is>
      </c>
      <c r="B10" s="246" t="n">
        <v>15</v>
      </c>
      <c r="C10" s="237" t="inlineStr">
        <is>
          <t>* MOQ</t>
        </is>
      </c>
      <c r="D10" s="246" t="n">
        <v>100</v>
      </c>
      <c r="E10" s="237" t="inlineStr">
        <is>
          <t>* 认证</t>
        </is>
      </c>
      <c r="F10" s="239" t="n"/>
      <c r="G10" s="243" t="inlineStr">
        <is>
          <t>认证费用覆盖</t>
        </is>
      </c>
      <c r="H10" s="240" t="n"/>
      <c r="I10" s="241" t="inlineStr">
        <is>
          <t>物流/件</t>
        </is>
      </c>
      <c r="J10" s="247">
        <f>IF(Input!$I$16="待填写","",Input!$I$13)</f>
        <v/>
      </c>
      <c r="K10" s="241" t="inlineStr">
        <is>
          <t>目标毛利</t>
        </is>
      </c>
      <c r="L10" s="247">
        <f>IF(Input!$I$16="待填写","",Input!$I$15)</f>
        <v/>
      </c>
    </row>
    <row r="11" ht="22" customHeight="1" s="197">
      <c r="A11" s="237" t="inlineStr">
        <is>
          <t>* 交期</t>
        </is>
      </c>
      <c r="B11" s="246" t="n">
        <v>45</v>
      </c>
      <c r="C11" s="243" t="inlineStr">
        <is>
          <t>Incoterms</t>
        </is>
      </c>
      <c r="D11" s="244" t="inlineStr">
        <is>
          <t>Incoterms 2020</t>
        </is>
      </c>
      <c r="E11" s="243" t="inlineStr">
        <is>
          <t>冲水方式</t>
        </is>
      </c>
      <c r="F11" s="244" t="n"/>
      <c r="G11" s="243" t="inlineStr">
        <is>
          <t>排污方式</t>
        </is>
      </c>
      <c r="H11" s="244" t="n"/>
      <c r="I11" s="241" t="inlineStr">
        <is>
          <t>包装尺寸</t>
        </is>
      </c>
      <c r="J11" s="242">
        <f>IF(Input!$I$16="待填写","",Input!$G$27)</f>
        <v/>
      </c>
      <c r="K11" s="241" t="inlineStr">
        <is>
          <t>装柜测算</t>
        </is>
      </c>
      <c r="L11" s="242">
        <f>IF(Input!$I$16="待填写","",Input!$G$28)</f>
        <v/>
      </c>
    </row>
    <row r="12" ht="22" customHeight="1" s="197">
      <c r="A12" s="237" t="inlineStr">
        <is>
          <t>* 自产毛利</t>
        </is>
      </c>
      <c r="B12" s="249" t="n">
        <v>0.3</v>
      </c>
      <c r="C12" s="237" t="inlineStr">
        <is>
          <t>* 外购毛利</t>
        </is>
      </c>
      <c r="D12" s="249" t="n">
        <v>0.03</v>
      </c>
      <c r="E12" s="243" t="inlineStr">
        <is>
          <t>坑距/墙排</t>
        </is>
      </c>
      <c r="F12" s="244" t="n"/>
      <c r="G12" s="243" t="inlineStr">
        <is>
          <t>冲水量</t>
        </is>
      </c>
      <c r="H12" s="244" t="n"/>
      <c r="I12" s="241" t="inlineStr">
        <is>
          <t>客户报价</t>
        </is>
      </c>
      <c r="J12" s="242" t="inlineStr">
        <is>
          <t>CustomerQuote</t>
        </is>
      </c>
      <c r="K12" s="241" t="inlineStr">
        <is>
          <t>内部核价</t>
        </is>
      </c>
      <c r="L12" s="242" t="inlineStr">
        <is>
          <t>InternalCost</t>
        </is>
      </c>
    </row>
    <row r="13" ht="22" customHeight="1" s="197">
      <c r="A13" s="237" t="inlineStr">
        <is>
          <t>* 底线毛利</t>
        </is>
      </c>
      <c r="B13" s="249" t="n">
        <v>0</v>
      </c>
      <c r="C13" s="237" t="inlineStr">
        <is>
          <t>* 佣金预留</t>
        </is>
      </c>
      <c r="D13" s="249" t="n">
        <v>0</v>
      </c>
      <c r="E13" s="237" t="inlineStr">
        <is>
          <t>* 含下水/安装件</t>
        </is>
      </c>
      <c r="F13" s="238" t="inlineStr">
        <is>
          <t>否</t>
        </is>
      </c>
      <c r="G13" s="243" t="inlineStr">
        <is>
          <t>安装方式</t>
        </is>
      </c>
      <c r="H13" s="244" t="n"/>
      <c r="I13" s="241" t="inlineStr">
        <is>
          <t>自产毛利</t>
        </is>
      </c>
      <c r="J13" s="248">
        <f>Input!$B$22</f>
        <v/>
      </c>
      <c r="K13" s="241" t="inlineStr">
        <is>
          <t>外购毛利</t>
        </is>
      </c>
      <c r="L13" s="248">
        <f>Input!$B$28</f>
        <v/>
      </c>
    </row>
    <row r="14" ht="22" customHeight="1" s="197">
      <c r="A14" s="237" t="inlineStr">
        <is>
          <t>* 售后预留</t>
        </is>
      </c>
      <c r="B14" s="249" t="n">
        <v>0</v>
      </c>
      <c r="C14" s="237" t="inlineStr">
        <is>
          <t>* 汇率预留</t>
        </is>
      </c>
      <c r="D14" s="249" t="n">
        <v>0</v>
      </c>
      <c r="E14" s="243" t="inlineStr">
        <is>
          <t>龙头孔</t>
        </is>
      </c>
      <c r="F14" s="244" t="n"/>
      <c r="G14" s="243" t="inlineStr">
        <is>
          <t>溢水孔</t>
        </is>
      </c>
      <c r="H14" s="244" t="n"/>
      <c r="I14" s="241" t="inlineStr">
        <is>
          <t>综合毛利</t>
        </is>
      </c>
      <c r="J14" s="248">
        <f>IF(Input!$I$16="待填写","",Input!$I$8)</f>
        <v/>
      </c>
      <c r="K14" s="241" t="inlineStr">
        <is>
          <t>底线毛利</t>
        </is>
      </c>
      <c r="L14" s="248">
        <f>Input!$B$23</f>
        <v/>
      </c>
    </row>
    <row r="15" ht="22" customHeight="1" s="197">
      <c r="A15" s="237" t="inlineStr">
        <is>
          <t>* 经营费率</t>
        </is>
      </c>
      <c r="B15" s="249" t="n">
        <v>0</v>
      </c>
      <c r="C15" s="250" t="n"/>
      <c r="D15" s="250" t="n"/>
      <c r="E15" s="237" t="inlineStr">
        <is>
          <t>* 产品长 mm</t>
        </is>
      </c>
      <c r="F15" s="246" t="n"/>
      <c r="G15" s="237" t="inlineStr">
        <is>
          <t>* 产品宽 mm</t>
        </is>
      </c>
      <c r="H15" s="246" t="n"/>
      <c r="I15" s="130" t="n"/>
      <c r="J15" s="130" t="n"/>
      <c r="K15" s="130" t="n"/>
      <c r="L15" s="130" t="n"/>
    </row>
    <row r="16" ht="22" customHeight="1" s="197">
      <c r="A16" s="130" t="n"/>
      <c r="B16" s="130" t="n"/>
      <c r="C16" s="130" t="n"/>
      <c r="D16" s="130" t="n"/>
      <c r="E16" s="237" t="inlineStr">
        <is>
          <t>* 产品高 mm</t>
        </is>
      </c>
      <c r="F16" s="246" t="n"/>
      <c r="G16" s="237" t="inlineStr">
        <is>
          <t>* 净重 KG</t>
        </is>
      </c>
      <c r="H16" s="246" t="n"/>
      <c r="I16" s="251" t="inlineStr">
        <is>
          <t>下一步</t>
        </is>
      </c>
    </row>
    <row r="17" ht="22" customHeight="1" s="197">
      <c r="A17" s="130" t="n"/>
      <c r="B17" s="130" t="n"/>
      <c r="C17" s="130" t="n"/>
      <c r="D17" s="130" t="n"/>
      <c r="E17" s="237" t="inlineStr">
        <is>
          <t>* 每箱件数</t>
        </is>
      </c>
      <c r="F17" s="246" t="n"/>
      <c r="G17" s="243" t="inlineStr">
        <is>
          <t>客户备注</t>
        </is>
      </c>
      <c r="H17" s="244" t="n"/>
      <c r="I17" s="243" t="inlineStr">
        <is>
          <t>1 检查结果</t>
        </is>
      </c>
      <c r="J17" s="243" t="inlineStr">
        <is>
          <t>2 打印 CustomerQuote</t>
        </is>
      </c>
      <c r="K17" s="243" t="inlineStr">
        <is>
          <t>3 内部看 InternalCost</t>
        </is>
      </c>
      <c r="L17" s="243" t="inlineStr">
        <is>
          <t>4 旧表看 LegacyQuote</t>
        </is>
      </c>
    </row>
    <row r="18" ht="24" customHeight="1" s="197">
      <c r="A18" s="130" t="n"/>
      <c r="B18" s="130" t="n"/>
      <c r="C18" s="130" t="n"/>
      <c r="D18" s="130" t="n"/>
      <c r="E18" s="243" t="inlineStr">
        <is>
          <t>内部备注</t>
        </is>
      </c>
      <c r="F18" s="244" t="n"/>
      <c r="I18" s="130" t="n"/>
      <c r="J18" s="130" t="n"/>
      <c r="K18" s="130" t="n"/>
      <c r="L18" s="130" t="n"/>
    </row>
    <row r="19" ht="22" customHeight="1" s="197">
      <c r="A19" s="251" t="inlineStr">
        <is>
          <t>④ 手动成本覆盖（可选；空白则自动计算）</t>
        </is>
      </c>
      <c r="I19" s="130" t="n"/>
      <c r="J19" s="130" t="n"/>
      <c r="K19" s="130" t="n"/>
      <c r="L19" s="130" t="n"/>
    </row>
    <row r="20" ht="22" customHeight="1" s="197">
      <c r="A20" s="243" t="inlineStr">
        <is>
          <t>包装材料 RMB/件</t>
        </is>
      </c>
      <c r="B20" s="240" t="n"/>
      <c r="C20" s="243" t="inlineStr">
        <is>
          <t>生产人工 RMB/件</t>
        </is>
      </c>
      <c r="D20" s="240" t="n"/>
      <c r="E20" s="243" t="inlineStr">
        <is>
          <t>包装人工 RMB/件</t>
        </is>
      </c>
      <c r="F20" s="240" t="n"/>
      <c r="G20" s="243" t="inlineStr">
        <is>
          <t>损耗 RMB/件</t>
        </is>
      </c>
      <c r="H20" s="240" t="n"/>
      <c r="I20" s="130" t="n"/>
      <c r="J20" s="130" t="n"/>
      <c r="K20" s="130" t="n"/>
      <c r="L20" s="130" t="n"/>
    </row>
    <row r="21" ht="22" customHeight="1" s="197">
      <c r="A21" s="243" t="inlineStr">
        <is>
          <t>模具/制造间接</t>
        </is>
      </c>
      <c r="B21" s="240" t="n"/>
      <c r="C21" s="243" t="inlineStr">
        <is>
          <t>管理费 RMB/件</t>
        </is>
      </c>
      <c r="D21" s="240" t="n"/>
      <c r="E21" s="243" t="inlineStr">
        <is>
          <t>物流 RMB/件</t>
        </is>
      </c>
      <c r="F21" s="240" t="n"/>
      <c r="G21" s="243" t="inlineStr">
        <is>
          <t>DDP报价</t>
        </is>
      </c>
      <c r="H21" s="243" t="inlineStr">
        <is>
          <t>专案核价</t>
        </is>
      </c>
      <c r="I21" s="130" t="n"/>
      <c r="J21" s="130" t="n"/>
      <c r="K21" s="130" t="n"/>
      <c r="L21" s="130" t="n"/>
    </row>
    <row r="22" ht="42" customHeight="1" s="197">
      <c r="A22" s="243" t="inlineStr">
        <is>
          <t>填写规则：红框/星号为必填；默认只需填本体成本、数量、市场、条款、港口、汇率、尺寸/装柜量。盖板/水件/下水件/铰链统一按FOB进仓价；手动覆盖填入后优先使用。</t>
        </is>
      </c>
    </row>
    <row r="23" ht="28" customHeight="1" s="197">
      <c r="A23" s="243" t="inlineStr">
        <is>
          <t>物流提示：EXW不计物流；FOB计中国端本地费；CFR/CIF再叠加目标市场海运/保险。DDP不自动报价。</t>
        </is>
      </c>
    </row>
    <row r="24" ht="22" customHeight="1" s="197">
      <c r="A24" s="251" t="inlineStr">
        <is>
          <t>⑤ 盖板独立包装/物流参考（可选，不计入报价）</t>
        </is>
      </c>
      <c r="I24" s="130" t="n"/>
      <c r="J24" s="130" t="n"/>
      <c r="K24" s="130" t="n"/>
      <c r="L24" s="130" t="n"/>
    </row>
    <row r="25" ht="22" customHeight="1" s="197">
      <c r="A25" s="243" t="inlineStr">
        <is>
          <t>盖板物流参考</t>
        </is>
      </c>
      <c r="B25" s="238" t="inlineStr">
        <is>
          <t>否</t>
        </is>
      </c>
      <c r="C25" s="243" t="inlineStr">
        <is>
          <t>盖板长 mm</t>
        </is>
      </c>
      <c r="D25" s="244" t="n"/>
      <c r="E25" s="243" t="inlineStr">
        <is>
          <t>盖板宽 mm</t>
        </is>
      </c>
      <c r="F25" s="244" t="n"/>
      <c r="G25" s="243" t="inlineStr">
        <is>
          <t>盖板高 mm</t>
        </is>
      </c>
      <c r="H25" s="244" t="n"/>
      <c r="I25" s="130" t="n"/>
      <c r="J25" s="130" t="n"/>
      <c r="K25" s="130" t="n"/>
      <c r="L25" s="130" t="n"/>
    </row>
    <row r="26" ht="22" customHeight="1" s="197">
      <c r="A26" s="243" t="inlineStr">
        <is>
          <t>盖板净重 KG/套</t>
        </is>
      </c>
      <c r="B26" s="244" t="n"/>
      <c r="C26" s="243" t="inlineStr">
        <is>
          <t>每箱套数</t>
        </is>
      </c>
      <c r="D26" s="244" t="n">
        <v>10</v>
      </c>
      <c r="E26" s="243" t="inlineStr">
        <is>
          <t>箱外扩 mm</t>
        </is>
      </c>
      <c r="F26" s="244" t="n">
        <v>15</v>
      </c>
      <c r="G26" s="243" t="inlineStr">
        <is>
          <t>辅材 KG/箱</t>
        </is>
      </c>
      <c r="H26" s="244" t="n">
        <v>1.2</v>
      </c>
      <c r="I26" s="130" t="n"/>
      <c r="J26" s="130" t="n"/>
      <c r="K26" s="130" t="n"/>
      <c r="L26" s="130" t="n"/>
    </row>
    <row r="27" ht="34" customHeight="1" s="197">
      <c r="A27" s="243" t="inlineStr">
        <is>
          <t>纸板密度 KG/㎡</t>
        </is>
      </c>
      <c r="B27" s="244" t="n">
        <v>0.65</v>
      </c>
      <c r="C27" s="243" t="inlineStr">
        <is>
          <t>说明</t>
        </is>
      </c>
      <c r="D27" s="244" t="inlineStr">
        <is>
          <t>FOB进仓价已含供应商包装/进仓成本；下方仅作体积/装柜参考，不计入报价。</t>
        </is>
      </c>
      <c r="I27" s="130" t="n"/>
      <c r="J27" s="130" t="n"/>
      <c r="K27" s="130" t="n"/>
      <c r="L27" s="130" t="n"/>
    </row>
    <row r="28" ht="24" customHeight="1" s="197">
      <c r="A28" s="243" t="inlineStr">
        <is>
          <t>盖板外箱尺寸</t>
        </is>
      </c>
      <c r="B28" s="242">
        <f>IF(Packing!$B$55=0,"",TEXT(Packing!$B$52,"0")&amp;" x "&amp;TEXT(Packing!$B$53,"0")&amp;" x "&amp;TEXT(Packing!$B$54,"0")&amp;" mm")</f>
        <v/>
      </c>
      <c r="C28" s="243" t="inlineStr">
        <is>
          <t>单箱 CBM</t>
        </is>
      </c>
      <c r="D28" s="242">
        <f>IF(Packing!$B$55=0,"",Packing!$B$55)</f>
        <v/>
      </c>
      <c r="E28" s="243" t="inlineStr">
        <is>
          <t>单箱毛重 KG</t>
        </is>
      </c>
      <c r="F28" s="242">
        <f>IF(Packing!$B$59=0,"",Packing!$B$59)</f>
        <v/>
      </c>
      <c r="G28" s="243" t="inlineStr">
        <is>
          <t>单套毛重 KG</t>
        </is>
      </c>
      <c r="H28" s="242">
        <f>IF(Packing!$B$60=0,"",Packing!$B$60)</f>
        <v/>
      </c>
      <c r="I28" s="130" t="n"/>
      <c r="J28" s="130" t="n"/>
      <c r="K28" s="130" t="n"/>
      <c r="L28" s="130" t="n"/>
    </row>
    <row r="29" ht="24" customHeight="1" s="197">
      <c r="A29" s="243" t="inlineStr">
        <is>
          <t>盖板装柜量</t>
        </is>
      </c>
      <c r="B29" s="242">
        <f>IF(Packing!$B$64=0,"",Packing!$B$64)</f>
        <v/>
      </c>
      <c r="C29" s="243" t="inlineStr">
        <is>
          <t>盖板柜数</t>
        </is>
      </c>
      <c r="D29" s="242">
        <f>IF(Packing!$B$65=0,"",Packing!$B$65)</f>
        <v/>
      </c>
      <c r="E29" s="243" t="inlineStr">
        <is>
          <t>参考物流 RMB/套</t>
        </is>
      </c>
      <c r="F29" s="242">
        <f>IF(Packing!$B$66=0,"",Packing!$B$66)</f>
        <v/>
      </c>
      <c r="G29" s="243" t="inlineStr">
        <is>
          <t>限制因素</t>
        </is>
      </c>
      <c r="H29" s="242">
        <f>Packing!$B$68</f>
        <v/>
      </c>
      <c r="I29" s="130" t="n"/>
      <c r="J29" s="130" t="n"/>
      <c r="K29" s="130" t="n"/>
      <c r="L29" s="130" t="n"/>
    </row>
    <row r="30" ht="24" customHeight="1" s="197">
      <c r="A30" s="243" t="inlineStr">
        <is>
          <t>报价处理</t>
        </is>
      </c>
      <c r="B30" s="244" t="inlineStr">
        <is>
          <t>不计入报价</t>
        </is>
      </c>
      <c r="C30" s="243" t="inlineStr">
        <is>
          <t>测算口径</t>
        </is>
      </c>
      <c r="D30" s="244" t="inlineStr">
        <is>
          <t>盖板独立包装/物流仅作装柜和体积参考；不重复计入BOM报价。</t>
        </is>
      </c>
      <c r="I30" s="130" t="n"/>
      <c r="J30" s="130" t="n"/>
      <c r="K30" s="130" t="n"/>
      <c r="L30" s="130" t="n"/>
    </row>
    <row r="31" ht="22" customHeight="1" s="197"/>
    <row r="32" ht="22" customHeight="1" s="197"/>
    <row r="33" ht="22" customHeight="1" s="197"/>
    <row r="34" ht="22" customHeight="1" s="197"/>
    <row r="35" ht="22" customHeight="1" s="197"/>
    <row r="36" ht="22" customHeight="1" s="197"/>
    <row r="37" ht="22" customHeight="1" s="197"/>
    <row r="38" ht="22" customHeight="1" s="197"/>
    <row r="39"/>
    <row r="40"/>
    <row r="41"/>
    <row r="42"/>
    <row r="43"/>
    <row r="44"/>
    <row r="45"/>
  </sheetData>
  <mergeCells count="13">
    <mergeCell ref="A2:L2"/>
    <mergeCell ref="D30:H30"/>
    <mergeCell ref="F18:H18"/>
    <mergeCell ref="E3:H3"/>
    <mergeCell ref="I3:L3"/>
    <mergeCell ref="A24:H24"/>
    <mergeCell ref="A3:D3"/>
    <mergeCell ref="A1:L1"/>
    <mergeCell ref="A23:L23"/>
    <mergeCell ref="D27:H27"/>
    <mergeCell ref="I16:L16"/>
    <mergeCell ref="A19:H19"/>
    <mergeCell ref="A22:L22"/>
  </mergeCells>
  <dataValidations count="23">
    <dataValidation sqref="B6" showDropDown="0" showInputMessage="0" showErrorMessage="0" allowBlank="1" type="list">
      <formula1>"分体马桶,连体马桶,挂墙马桶,台上盆,台下盆,立柱盆/半柱盆"</formula1>
    </dataValidation>
    <dataValidation sqref="D7" showDropDown="0" showInputMessage="0" showErrorMessage="0" allowBlank="1" type="list">
      <formula1>"EXW,FOB,CFR,CIF"</formula1>
    </dataValidation>
    <dataValidation sqref="B9" showDropDown="0" showInputMessage="0" showErrorMessage="0" allowBlank="1" type="list">
      <formula1>"USD,RMB"</formula1>
    </dataValidation>
    <dataValidation sqref="B7" showDropDown="0" showInputMessage="0" showErrorMessage="0" allowBlank="1" type="list">
      <formula1>"美国,欧洲,中东,亚洲,其他,Nigeria"</formula1>
    </dataValidation>
    <dataValidation sqref="B8" showDropDown="0" showInputMessage="0" showErrorMessage="0" allowBlank="1" type="list">
      <formula1>"Xiamen,Ningbo,Shanghai,Shenzhen,Qingdao,Guangzhou,Nigeria"</formula1>
    </dataValidation>
    <dataValidation sqref="D8" showDropDown="0" showInputMessage="0" showErrorMessage="0" allowBlank="1" type="list">
      <formula1>"Los Angeles,Long Beach,New York,Hamburg,Rotterdam,Jebel Ali,Riyadh,Singapore,Lagos-Apapa,Tin Can Island,Onne,Port Harcourt,Calabar,Lekki"</formula1>
    </dataValidation>
    <dataValidation sqref="F4" showDropDown="0" showInputMessage="0" showErrorMessage="0" allowBlank="1" type="list">
      <formula1>"工厂本体成本直接填,成本模型"</formula1>
    </dataValidation>
    <dataValidation sqref="H5" showDropDown="0" showInputMessage="0" showErrorMessage="0" allowBlank="1" type="list">
      <formula1>"20GP,40GP,40HQ"</formula1>
    </dataValidation>
    <dataValidation sqref="B25 F6 F13" showDropDown="0" showInputMessage="0" showErrorMessage="0" allowBlank="1" type="list">
      <formula1>"是,否"</formula1>
    </dataValidation>
    <dataValidation sqref="F8" showDropDown="0" showInputMessage="0" showErrorMessage="0" allowBlank="1" type="list">
      <formula1>"PP 普通,PP 缓降,UF 缓降,UF 快拆,薄盖快拆,智能盖板"</formula1>
    </dataValidation>
    <dataValidation sqref="H8" showDropDown="0" showInputMessage="0" showErrorMessage="0" allowBlank="1" type="list">
      <formula1>"常规,常规缓降,快拆缓降,不锈钢铰链,锌合金铰链,金属铰链"</formula1>
    </dataValidation>
    <dataValidation sqref="F10" showDropDown="0" showInputMessage="0" showErrorMessage="0" allowBlank="1" type="list">
      <formula1>"无,UPC,cUPC,WaterSense,CE,UKCA,WRAS,SASO,其他"</formula1>
    </dataValidation>
    <dataValidation sqref="F11" showDropDown="0" showInputMessage="0" showErrorMessage="0" allowBlank="1" type="list">
      <formula1>"虹吸,冲落,喷射虹吸,旋涡虹吸,双冲"</formula1>
    </dataValidation>
    <dataValidation sqref="H11" showDropDown="0" showInputMessage="0" showErrorMessage="0" allowBlank="1" type="list">
      <formula1>"S-trap,P-trap,墙排"</formula1>
    </dataValidation>
    <dataValidation sqref="F12" showDropDown="0" showInputMessage="0" showErrorMessage="0" allowBlank="1" type="list">
      <formula1>"180mm,250mm,300mm,305mm,400mm,墙排"</formula1>
    </dataValidation>
    <dataValidation sqref="H12" showDropDown="0" showInputMessage="0" showErrorMessage="0" allowBlank="1" type="list">
      <formula1>"3/4.5L,3/6L,4.8L,6L,1.28GPF,1.6GPF"</formula1>
    </dataValidation>
    <dataValidation sqref="H13" showDropDown="0" showInputMessage="0" showErrorMessage="0" allowBlank="1" type="list">
      <formula1>"台上,台下,立柱,半柱,挂墙"</formula1>
    </dataValidation>
    <dataValidation sqref="F14" showDropDown="0" showInputMessage="0" showErrorMessage="0" allowBlank="1" type="list">
      <formula1>"无孔,单孔,三孔,可定制"</formula1>
    </dataValidation>
    <dataValidation sqref="H14" showDropDown="0" showInputMessage="0" showErrorMessage="0" allowBlank="1" type="list">
      <formula1>"有,无"</formula1>
    </dataValidation>
    <dataValidation sqref="F17" showDropDown="0" showInputMessage="0" showErrorMessage="0" allowBlank="1" type="list">
      <formula1>"1,2,4,6"</formula1>
    </dataValidation>
    <dataValidation sqref="D26" showDropDown="0" showInputMessage="0" showErrorMessage="0" allowBlank="1" type="list">
      <formula1>"5,10,20,30,50"</formula1>
    </dataValidation>
    <dataValidation sqref="F26" showDropDown="0" showInputMessage="0" showErrorMessage="0" allowBlank="1" type="list">
      <formula1>"10,15,20"</formula1>
    </dataValidation>
    <dataValidation sqref="B10 B11 B12 B13 B14 B15 B20 B21 B26 B27 D6 D9 D10 D12 D13 D14 D20 D21 D25 D26 F5 F7 F9 F15 F16 F17 F20 F21 F25 F26 H4 H7 H9 H10 H15 H16 H20 H25 H26" showDropDown="0" showInputMessage="0" showErrorMessage="0" allowBlank="1" type="decimal" operator="greaterThanOrEqual">
      <formula1>0</formula1>
    </dataValidation>
  </dataValidations>
  <pageMargins left="0.7" right="0.7" top="0.75" bottom="0.75" header="0.3" footer="0.3"/>
  <pageSetup orientation="landscape" fitToHeight="0" fitToWidth="1"/>
</worksheet>
</file>

<file path=xl/worksheets/sheet2.xml><?xml version="1.0" encoding="utf-8"?>
<worksheet xmlns="http://schemas.openxmlformats.org/spreadsheetml/2006/main">
  <sheetPr>
    <tabColor rgb="FFFFC000"/>
    <outlinePr summaryBelow="1" summaryRight="1"/>
    <pageSetUpPr/>
  </sheetPr>
  <dimension ref="A1:D13"/>
  <sheetViews>
    <sheetView showGridLines="0" workbookViewId="0">
      <pane ySplit="3" topLeftCell="A4" activePane="bottomLeft" state="frozen"/>
      <selection pane="bottomLeft" activeCell="A1" sqref="A1:D1"/>
    </sheetView>
  </sheetViews>
  <sheetFormatPr baseColWidth="8" defaultRowHeight="14"/>
  <cols>
    <col width="18" customWidth="1" style="197" min="1" max="2"/>
    <col width="56" customWidth="1" style="197" min="3" max="3"/>
    <col width="24" customWidth="1" style="197" min="4" max="4"/>
  </cols>
  <sheetData>
    <row r="1">
      <c r="A1" s="196" t="inlineStr">
        <is>
          <t>报价检查项</t>
        </is>
      </c>
    </row>
    <row r="2">
      <c r="A2" s="54" t="n"/>
      <c r="B2" s="54" t="n"/>
      <c r="C2" s="54" t="n"/>
      <c r="D2" s="54" t="n"/>
    </row>
    <row r="3">
      <c r="A3" s="60" t="inlineStr">
        <is>
          <t>检查项</t>
        </is>
      </c>
      <c r="B3" s="60" t="inlineStr">
        <is>
          <t>状态</t>
        </is>
      </c>
      <c r="C3" s="60" t="inlineStr">
        <is>
          <t>处理建议</t>
        </is>
      </c>
      <c r="D3" s="60" t="inlineStr">
        <is>
          <t>关联位置</t>
        </is>
      </c>
    </row>
    <row r="4">
      <c r="A4" s="54" t="inlineStr">
        <is>
          <t>资料完整性</t>
        </is>
      </c>
      <c r="B4" s="54">
        <f>Input!$I$16</f>
        <v/>
      </c>
      <c r="C4" s="54" t="inlineStr">
        <is>
          <t>待填写时先回填写首页补齐必填项</t>
        </is>
      </c>
      <c r="D4" s="54" t="inlineStr">
        <is>
          <t>填写首页 / Input</t>
        </is>
      </c>
    </row>
    <row r="5">
      <c r="A5" s="54" t="inlineStr">
        <is>
          <t>报价币种</t>
        </is>
      </c>
      <c r="B5" s="54">
        <f>IF(OR(Input!$B$17="USD",Input!$B$17="RMB"),"OK","仅支持USD/RMB")</f>
        <v/>
      </c>
      <c r="C5" s="54" t="inlineStr">
        <is>
          <t>EUR已移除，避免按USD汇率误报EUR</t>
        </is>
      </c>
      <c r="D5" s="54" t="inlineStr">
        <is>
          <t>填写首页!B15</t>
        </is>
      </c>
    </row>
    <row r="6">
      <c r="A6" s="54" t="inlineStr">
        <is>
          <t>DDP条款</t>
        </is>
      </c>
      <c r="B6" s="54">
        <f>IF(Input!$B$13="DDP","禁止自动报价","OK")</f>
        <v/>
      </c>
      <c r="C6" s="54" t="inlineStr">
        <is>
          <t>DDP需单独核关税、VAT、清关、尾程、仓储等</t>
        </is>
      </c>
      <c r="D6" s="54" t="inlineStr">
        <is>
          <t>填写首页!B11</t>
        </is>
      </c>
    </row>
    <row r="7" ht="28" customHeight="1" s="197">
      <c r="A7" s="54" t="inlineStr">
        <is>
          <t>主产品成本/装柜资料</t>
        </is>
      </c>
      <c r="B7" s="54">
        <f>IF(Input!$G$44="是",IF(OR(N(Input!$B$11)&lt;=0,N(Input!$E$45)&lt;=0,AND(N(Input!$G$45)&lt;=0,OR(Input!$E$22="",Input!$E$23="",Input!$E$24="",Input!$E$25="",Input!$E$26="",N(Input!$E$22)&lt;=0,N(Input!$E$23)&lt;=0,N(Input!$E$24)&lt;=0,N(Input!$E$25)&lt;=0,N(Input!$E$26)&lt;=0))),"待补本体成本/装柜量","OK"),IF(OR(N(Input!$B$11)&lt;=0,N(Input!$E$22)&lt;=0,N(Input!$E$23)&lt;=0,N(Input!$E$24)&lt;=0,N(Input!$E$25)&lt;=0,N(Input!$E$26)&lt;=0),"待补正数","OK"))</f>
        <v/>
      </c>
      <c r="C7" s="54" t="inlineStr">
        <is>
          <t>成本模型需尺寸/重量/每箱件数；本体成本直填需工厂本体成本，并填手动装柜量或尺寸/重量用于物流</t>
        </is>
      </c>
      <c r="D7" s="54" t="inlineStr">
        <is>
          <t>填写首页!H4/F5 或 F15:F17/H15:H16</t>
        </is>
      </c>
    </row>
    <row r="8" ht="28" customHeight="1" s="197">
      <c r="A8" s="54" t="inlineStr">
        <is>
          <t>外购件价格口径</t>
        </is>
      </c>
      <c r="B8" s="54">
        <f>IF(Input!$E$43="FOB进仓价","OK","检查口径")</f>
        <v/>
      </c>
      <c r="C8" s="54" t="inlineStr">
        <is>
          <t>盖板、水件、下水件、铰链统一填FOB进仓价/RMB</t>
        </is>
      </c>
      <c r="D8" s="54" t="inlineStr">
        <is>
          <t>填写首页!B22:B23/D21:D23</t>
        </is>
      </c>
    </row>
    <row r="9" ht="28" customHeight="1" s="197">
      <c r="A9" s="54" t="inlineStr">
        <is>
          <t>盖板物流参考</t>
        </is>
      </c>
      <c r="B9" s="54">
        <f>IF(AND(Input!$E$9="是",Input!$E$34="是",OR(N(Input!$E$35)&lt;=0,N(Input!$E$36)&lt;=0,N(Input!$E$37)&lt;=0,N(Input!$E$38)&lt;=0,N(Input!$E$39)&lt;=0)),"仅参考待补","OK")</f>
        <v/>
      </c>
      <c r="C9" s="54" t="inlineStr">
        <is>
          <t>FOB进仓价下不计入报价；如要看独立盖板装柜参考，再补尺寸/重量。</t>
        </is>
      </c>
      <c r="D9" s="54" t="inlineStr">
        <is>
          <t>填写首页!B29:H31</t>
        </is>
      </c>
    </row>
    <row r="10" ht="28" customHeight="1" s="197">
      <c r="A10" s="54" t="inlineStr">
        <is>
          <t>装柜经验复核</t>
        </is>
      </c>
      <c r="B10" s="54">
        <f>IF(N(Input!$G$45)&gt;0,"手动装柜量",IF(Packing!$B$36=0,"待补资料",IF(OR(Packing!$B$36&lt;0.7*IFERROR(VLOOKUP(Input!$B$9,Library!$A$5:$L$10,12,FALSE),Packing!$B$36),Packing!$B$36&gt;1.3*IFERROR(VLOOKUP(Input!$B$9,Library!$A$5:$L$10,12,FALSE),Packing!$B$36)),"需复核装柜量","OK")))</f>
        <v/>
      </c>
      <c r="C10" s="54" t="inlineStr">
        <is>
          <t>动态装柜量偏离价格库经验值30%以上时复核；如填写首页F23手动装柜量，则以手动值为准。</t>
        </is>
      </c>
      <c r="D10" s="54" t="inlineStr">
        <is>
          <t>Packing / Library</t>
        </is>
      </c>
    </row>
    <row r="11">
      <c r="A11" s="54" t="inlineStr">
        <is>
          <t>客户报价可外发</t>
        </is>
      </c>
      <c r="B11" s="54">
        <f>IF(CustomerQuote!$B$12="","否","是")</f>
        <v/>
      </c>
      <c r="C11" s="54" t="inlineStr">
        <is>
          <t>否=资料不完整或条款被禁止自动报价</t>
        </is>
      </c>
      <c r="D11" s="54" t="inlineStr">
        <is>
          <t>CustomerQuote!B12</t>
        </is>
      </c>
    </row>
    <row r="12">
      <c r="A12" t="inlineStr">
        <is>
          <t>马桶本体成本直填</t>
        </is>
      </c>
      <c r="B12">
        <f>IF(Input!$G$44="是",IF(N(Input!$E$45)&gt;0,"OK","待补本体成本"),"未启用")</f>
        <v/>
      </c>
      <c r="C12" t="inlineStr">
        <is>
          <t>启用工厂本体成本直接填时，填写首页H22必须大于0；包装、人工、损耗、间接费、物流另计或手动覆盖。</t>
        </is>
      </c>
      <c r="D12" t="inlineStr">
        <is>
          <t>填写首页!F4/H4/B20:F21</t>
        </is>
      </c>
    </row>
    <row r="13">
      <c r="A13" t="inlineStr">
        <is>
          <t>手动成本覆盖</t>
        </is>
      </c>
      <c r="B13">
        <f>IF(SUM(N(Input!$E$47),N(Input!$G$47),N(Input!$E$48),N(Input!$G$48),N(Input!$E$49),N(Input!$G$49),N(Input!$E$50))&gt;0,"已启用","未启用")</f>
        <v/>
      </c>
      <c r="C13" t="inlineStr">
        <is>
          <t>手动覆盖按RMB/件直接计入BOM；空白时使用自动参数。</t>
        </is>
      </c>
      <c r="D13" t="inlineStr">
        <is>
          <t>填写首页!B20:F21</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
  <sheetViews>
    <sheetView showGridLines="0" workbookViewId="0">
      <selection activeCell="I13" sqref="I13"/>
    </sheetView>
  </sheetViews>
  <sheetFormatPr baseColWidth="8" defaultColWidth="8.6328125" defaultRowHeight="14"/>
  <cols>
    <col width="18.1796875" customWidth="1" style="189" min="1" max="1"/>
    <col width="20" customWidth="1" style="189" min="2" max="2"/>
    <col width="2.26953125" customWidth="1" style="189" min="3" max="3"/>
    <col width="20" customWidth="1" style="189" min="4" max="5"/>
    <col width="16.90625" customWidth="1" style="189" min="6" max="6"/>
    <col width="21.90625" customWidth="1" style="189" min="7" max="7"/>
    <col width="21.26953125" customWidth="1" style="189" min="8" max="8"/>
    <col width="21.90625" customWidth="1" style="189" min="9" max="9"/>
    <col width="31.6328125" customWidth="1" style="189" min="10" max="10"/>
    <col width="8.6328125" customWidth="1" style="189" min="11" max="19"/>
    <col width="8.6328125" customWidth="1" style="189" min="20" max="16384"/>
  </cols>
  <sheetData>
    <row r="1" ht="27" customHeight="1" s="197">
      <c r="A1" s="205" t="inlineStr">
        <is>
          <t>计算底表 Input - 日常只用第一个“填写首页”</t>
        </is>
      </c>
      <c r="B1" s="189" t="n"/>
      <c r="C1" s="189" t="n"/>
      <c r="D1" s="189" t="n"/>
      <c r="E1" s="189" t="n"/>
      <c r="F1" s="189" t="n"/>
      <c r="G1" s="189" t="n"/>
      <c r="H1" s="189" t="n"/>
      <c r="I1" s="189" t="n"/>
      <c r="J1" s="54" t="n"/>
    </row>
    <row r="2" ht="21" customHeight="1" s="197">
      <c r="A2" s="200" t="inlineStr">
        <is>
          <t>① 黄色：必须填写 / 可改</t>
        </is>
      </c>
      <c r="B2" s="189" t="n"/>
      <c r="C2" s="198" t="n"/>
      <c r="D2" s="203" t="inlineStr">
        <is>
          <t>② 橙色：特殊报价才填</t>
        </is>
      </c>
      <c r="E2" s="189" t="n"/>
      <c r="F2" s="199" t="inlineStr">
        <is>
          <t>③ 蓝灰：公式和系统参考</t>
        </is>
      </c>
      <c r="G2" s="189" t="n"/>
      <c r="H2" s="201" t="inlineStr">
        <is>
          <t>④ 右侧：自动报价结果</t>
        </is>
      </c>
      <c r="I2" s="189" t="n"/>
      <c r="J2" s="54" t="n"/>
    </row>
    <row r="3" ht="18" customHeight="1" s="197">
      <c r="A3" s="204" t="inlineStr">
        <is>
          <t>① 客户与订单</t>
        </is>
      </c>
      <c r="B3" s="189" t="n"/>
      <c r="C3" s="198" t="n"/>
      <c r="D3" s="204" t="inlineStr">
        <is>
          <t>② 产品规格与配件</t>
        </is>
      </c>
      <c r="E3" s="189" t="n"/>
      <c r="F3" s="189" t="n"/>
      <c r="G3" s="189" t="n"/>
      <c r="H3" s="204" t="inlineStr">
        <is>
          <t>③ 自动报价结果</t>
        </is>
      </c>
      <c r="I3" s="189" t="n"/>
      <c r="J3" s="54" t="n"/>
    </row>
    <row r="4" ht="18" customHeight="1" s="197">
      <c r="A4" s="65" t="inlineStr">
        <is>
          <t>报价日期</t>
        </is>
      </c>
      <c r="B4" s="66">
        <f>IF(填写首页!J4="","",填写首页!J4)</f>
        <v/>
      </c>
      <c r="C4" s="198" t="n"/>
      <c r="D4" s="65" t="inlineStr">
        <is>
          <t>字段</t>
        </is>
      </c>
      <c r="E4" s="200" t="inlineStr">
        <is>
          <t>请填这里</t>
        </is>
      </c>
      <c r="F4" s="199" t="inlineStr">
        <is>
          <t>系统参考</t>
        </is>
      </c>
      <c r="G4" s="203" t="inlineStr">
        <is>
          <t>特殊报价/备注</t>
        </is>
      </c>
      <c r="H4" s="67" t="inlineStr">
        <is>
          <t>报价基准成本 RMB/件</t>
        </is>
      </c>
      <c r="I4" s="68">
        <f>IFERROR(BOM!F17,"")</f>
        <v/>
      </c>
      <c r="J4" s="54" t="n"/>
    </row>
    <row r="5" ht="17.25" customHeight="1" s="197">
      <c r="A5" s="65" t="inlineStr">
        <is>
          <t>报价单号</t>
        </is>
      </c>
      <c r="B5" s="67">
        <f>填写首页!L4</f>
        <v/>
      </c>
      <c r="C5" s="198" t="n"/>
      <c r="D5" s="65" t="inlineStr">
        <is>
          <t>冲水方式</t>
        </is>
      </c>
      <c r="E5" s="69">
        <f>IFERROR(IF(填写首页!F11="","",填写首页!F11),"")</f>
        <v/>
      </c>
      <c r="F5" s="199" t="n"/>
      <c r="G5" s="198" t="n"/>
      <c r="H5" s="67" t="inlineStr">
        <is>
          <t>报价币种成本/件</t>
        </is>
      </c>
      <c r="I5" s="252">
        <f>IFERROR(BOM!F18,"")</f>
        <v/>
      </c>
      <c r="J5" s="54" t="n"/>
    </row>
    <row r="6" ht="17.25" customHeight="1" s="197">
      <c r="A6" s="65" t="inlineStr">
        <is>
          <t>客户名称</t>
        </is>
      </c>
      <c r="B6" s="69">
        <f>IFERROR(IF(填写首页!B4="","",填写首页!B4),"")</f>
        <v/>
      </c>
      <c r="C6" s="198" t="n"/>
      <c r="D6" s="65" t="inlineStr">
        <is>
          <t>排污方式</t>
        </is>
      </c>
      <c r="E6" s="69">
        <f>IFERROR(IF(填写首页!H11="","",填写首页!H11),"")</f>
        <v/>
      </c>
      <c r="F6" s="199" t="n"/>
      <c r="G6" s="198" t="n"/>
      <c r="H6" s="67" t="inlineStr">
        <is>
          <t>报价币种销售价/件</t>
        </is>
      </c>
      <c r="I6" s="252">
        <f>IFERROR(BOM!F19,"")</f>
        <v/>
      </c>
      <c r="J6" s="54" t="n"/>
    </row>
    <row r="7" ht="17.25" customHeight="1" s="197">
      <c r="A7" s="65" t="inlineStr">
        <is>
          <t>项目名称</t>
        </is>
      </c>
      <c r="B7" s="69">
        <f>IFERROR(IF(填写首页!D4="","",填写首页!D4),"")</f>
        <v/>
      </c>
      <c r="C7" s="198" t="n"/>
      <c r="D7" s="65" t="inlineStr">
        <is>
          <t>坑距/墙排</t>
        </is>
      </c>
      <c r="E7" s="69">
        <f>IFERROR(IF(填写首页!F12="","",填写首页!F12),"")</f>
        <v/>
      </c>
      <c r="F7" s="199" t="n"/>
      <c r="G7" s="198" t="n"/>
      <c r="H7" s="67" t="inlineStr">
        <is>
          <t>订单总额 USD</t>
        </is>
      </c>
      <c r="I7" s="252">
        <f>IFERROR(I6*B11,"")</f>
        <v/>
      </c>
      <c r="J7" s="54" t="n"/>
    </row>
    <row r="8" ht="17.25" customHeight="1" s="197">
      <c r="A8" s="65" t="inlineStr">
        <is>
          <t>销售负责人</t>
        </is>
      </c>
      <c r="B8" s="69">
        <f>IFERROR(IF(填写首页!B5="","",填写首页!B5),"")</f>
        <v/>
      </c>
      <c r="C8" s="198" t="n"/>
      <c r="D8" s="65" t="inlineStr">
        <is>
          <t>冲水量</t>
        </is>
      </c>
      <c r="E8" s="69">
        <f>IFERROR(IF(填写首页!H12="","",填写首页!H12),"")</f>
        <v/>
      </c>
      <c r="F8" s="199" t="n"/>
      <c r="G8" s="198" t="n"/>
      <c r="H8" s="67" t="inlineStr">
        <is>
          <t>当前净毛利率</t>
        </is>
      </c>
      <c r="I8" s="71">
        <f>IFERROR(BOM!F22,"")</f>
        <v/>
      </c>
      <c r="J8" s="54" t="n"/>
    </row>
    <row r="9" ht="17.25" customHeight="1" s="197">
      <c r="A9" s="65" t="inlineStr">
        <is>
          <t>产品品类</t>
        </is>
      </c>
      <c r="B9" s="69">
        <f>IFERROR(IF(填写首页!B6="","",填写首页!B6),"")</f>
        <v/>
      </c>
      <c r="C9" s="198" t="n"/>
      <c r="D9" s="65" t="inlineStr">
        <is>
          <t>是否含盖板</t>
        </is>
      </c>
      <c r="E9" s="69">
        <f>IFERROR(IF(填写首页!F6="","",填写首页!F6),"")</f>
        <v/>
      </c>
      <c r="F9" s="199" t="n"/>
      <c r="G9" s="198" t="n"/>
      <c r="H9" s="67" t="inlineStr">
        <is>
          <t>底线价 USD/件</t>
        </is>
      </c>
      <c r="I9" s="252">
        <f>IFERROR(InternalCost!D11,"")</f>
        <v/>
      </c>
      <c r="J9" s="54" t="n"/>
    </row>
    <row r="10" ht="17.25" customHeight="1" s="197">
      <c r="A10" s="65" t="inlineStr">
        <is>
          <t>型号编号</t>
        </is>
      </c>
      <c r="B10" s="69">
        <f>IFERROR(IF(填写首页!D5="","",填写首页!D5),"")</f>
        <v/>
      </c>
      <c r="C10" s="198" t="n"/>
      <c r="D10" s="65" t="inlineStr">
        <is>
          <t>盖板型号/备注（不计价）</t>
        </is>
      </c>
      <c r="E10" s="69">
        <f>IFERROR(IF(填写首页!H6="","",填写首页!H6),"")</f>
        <v/>
      </c>
      <c r="F10" s="199">
        <f>IFERROR(IF(E9="是",VLOOKUP(E11,Library!$N$34:$Q$39,3,FALSE),""),"")</f>
        <v/>
      </c>
      <c r="G10" s="72">
        <f>IFERROR(IF(填写首页!B21="","",填写首页!B21),"")</f>
        <v/>
      </c>
      <c r="H10" s="67" t="inlineStr">
        <is>
          <t>审批价 USD/件</t>
        </is>
      </c>
      <c r="I10" s="252">
        <f>IFERROR(InternalCost!B11,"")</f>
        <v/>
      </c>
      <c r="J10" s="54" t="n"/>
    </row>
    <row r="11" ht="17.25" customHeight="1" s="197">
      <c r="A11" s="65" t="inlineStr">
        <is>
          <t>订单数量</t>
        </is>
      </c>
      <c r="B11" s="57">
        <f>IFERROR(IF(填写首页!D6="","",填写首页!D6),"")</f>
        <v/>
      </c>
      <c r="C11" s="198" t="n"/>
      <c r="D11" s="65" t="inlineStr">
        <is>
          <t>盖板档次（必选）</t>
        </is>
      </c>
      <c r="E11" s="69">
        <f>IFERROR(IF(填写首页!F8="","",填写首页!F8),"")</f>
        <v/>
      </c>
      <c r="F11" s="73">
        <f>IFERROR(IF(E9="是",VLOOKUP(E11,Library!$N$34:$Q$39,2,FALSE),0),0)</f>
        <v/>
      </c>
      <c r="G11" s="74">
        <f>IFERROR(IF(填写首页!F7="","",填写首页!F7),"")</f>
        <v/>
      </c>
      <c r="H11" s="67" t="inlineStr">
        <is>
          <t>预估装柜量</t>
        </is>
      </c>
      <c r="I11" s="75">
        <f>IFERROR(Tiers!B3,"")</f>
        <v/>
      </c>
      <c r="J11" s="54" t="n"/>
    </row>
    <row r="12" ht="17.25" customHeight="1" s="197">
      <c r="A12" s="65" t="inlineStr">
        <is>
          <t>目标市场</t>
        </is>
      </c>
      <c r="B12" s="69">
        <f>IFERROR(IF(填写首页!B7="","",填写首页!B7),"")</f>
        <v/>
      </c>
      <c r="C12" s="198" t="n"/>
      <c r="D12" s="65" t="inlineStr">
        <is>
          <t>铰链要求（必选）</t>
        </is>
      </c>
      <c r="E12" s="69">
        <f>IFERROR(IF(填写首页!H8="","",填写首页!H8),"")</f>
        <v/>
      </c>
      <c r="F12" s="73">
        <f>IFERROR(IF(E9="是",VLOOKUP(E12,Library!$N$43:$Q$48,2,FALSE),0),0)</f>
        <v/>
      </c>
      <c r="G12" s="74">
        <f>IFERROR(IF(填写首页!F9="","",填写首页!F9),"")</f>
        <v/>
      </c>
      <c r="H12" s="67" t="inlineStr">
        <is>
          <t>需要柜数</t>
        </is>
      </c>
      <c r="I12" s="75">
        <f>IFERROR(Tiers!D3,"")</f>
        <v/>
      </c>
      <c r="J12" s="54" t="n"/>
    </row>
    <row r="13" ht="17.25" customHeight="1" s="197">
      <c r="A13" s="65" t="inlineStr">
        <is>
          <t>贸易条款</t>
        </is>
      </c>
      <c r="B13" s="69">
        <f>IFERROR(IF(填写首页!D7="","",填写首页!D7),"")</f>
        <v/>
      </c>
      <c r="C13" s="198" t="n"/>
      <c r="D13" s="65" t="inlineStr">
        <is>
          <t>盖板计价单价</t>
        </is>
      </c>
      <c r="E13" s="76" t="n"/>
      <c r="F13" s="73">
        <f>IFERROR(F11+F12,"")</f>
        <v/>
      </c>
      <c r="G13" s="68">
        <f>IFERROR(IF(G11="",F11,G11)+IF(G12="",F12,G12),"")</f>
        <v/>
      </c>
      <c r="H13" s="67" t="inlineStr">
        <is>
          <t>条款物流 RMB/件</t>
        </is>
      </c>
      <c r="I13" s="68">
        <f>IFERROR(BOM!F16,"")</f>
        <v/>
      </c>
      <c r="J13" s="54" t="n"/>
    </row>
    <row r="14" ht="17.25" customHeight="1" s="197">
      <c r="A14" s="65" t="inlineStr">
        <is>
          <t>Incoterms</t>
        </is>
      </c>
      <c r="B14" s="69">
        <f>IFERROR(IF(填写首页!D11="","",填写首页!D11),"")</f>
        <v/>
      </c>
      <c r="C14" s="198" t="n"/>
      <c r="D14" s="65" t="inlineStr">
        <is>
          <t>水件/五金参考</t>
        </is>
      </c>
      <c r="E14" s="198" t="n"/>
      <c r="F14" s="73">
        <f>IFERROR(IF(OR(Input!$B$9="分体马桶",Input!$B$9="连体马桶",Input!$B$9="挂墙马桶"),IFERROR(VLOOKUP(B9,Library!$A$5:$L$10,5,FALSE),0),0),"")</f>
        <v/>
      </c>
      <c r="G14" s="74">
        <f>IFERROR(IF(填写首页!H7="","",填写首页!H7),"")</f>
        <v/>
      </c>
      <c r="H14" s="67" t="inlineStr">
        <is>
          <t>佣金/售后/汇率预留 RMB/件</t>
        </is>
      </c>
      <c r="I14" s="68">
        <f>IFERROR(BOM!F20*(B24+B25+B26),"")</f>
        <v/>
      </c>
      <c r="J14" s="54" t="n"/>
    </row>
    <row r="15" ht="17.25" customHeight="1" s="197">
      <c r="A15" s="65" t="inlineStr">
        <is>
          <t>装运港</t>
        </is>
      </c>
      <c r="B15" s="69">
        <f>IFERROR(IF(填写首页!B8="","",填写首页!B8),"")</f>
        <v/>
      </c>
      <c r="C15" s="198" t="n"/>
      <c r="D15" s="65" t="inlineStr">
        <is>
          <t>水件/五金最终单价</t>
        </is>
      </c>
      <c r="E15" s="198" t="n"/>
      <c r="F15" s="73">
        <f>IFERROR(F14,"")</f>
        <v/>
      </c>
      <c r="G15" s="68">
        <f>IFERROR(IF(G14="",F14,G14),"")</f>
        <v/>
      </c>
      <c r="H15" s="67" t="inlineStr">
        <is>
          <t>目标净毛利 RMB/件</t>
        </is>
      </c>
      <c r="I15" s="68">
        <f>IFERROR(BOM!F21,"")</f>
        <v/>
      </c>
      <c r="J15" s="54" t="n"/>
    </row>
    <row r="16" ht="17.25" customHeight="1" s="197">
      <c r="A16" s="65" t="inlineStr">
        <is>
          <t>目的港</t>
        </is>
      </c>
      <c r="B16" s="69">
        <f>IFERROR(IF(填写首页!D8="","",填写首页!D8),"")</f>
        <v/>
      </c>
      <c r="C16" s="198" t="n"/>
      <c r="D16" s="65" t="inlineStr">
        <is>
          <t>安装方式（台盆）</t>
        </is>
      </c>
      <c r="E16" s="69">
        <f>IFERROR(IF(填写首页!H13="","",填写首页!H13),"")</f>
        <v/>
      </c>
      <c r="F16" s="199" t="n"/>
      <c r="G16" s="198" t="n"/>
      <c r="H16" s="67" t="inlineStr">
        <is>
          <t>报价结论</t>
        </is>
      </c>
      <c r="I16" s="77">
        <f>InternalCost!$B$8</f>
        <v/>
      </c>
      <c r="J16" s="54" t="n"/>
    </row>
    <row r="17" ht="17.25" customHeight="1" s="197">
      <c r="A17" s="65" t="inlineStr">
        <is>
          <t>报价币种</t>
        </is>
      </c>
      <c r="B17" s="69">
        <f>IFERROR(IF(填写首页!B9="","",填写首页!B9),"")</f>
        <v/>
      </c>
      <c r="C17" s="198" t="n"/>
      <c r="D17" s="65" t="inlineStr">
        <is>
          <t>龙头孔（台盆）</t>
        </is>
      </c>
      <c r="E17" s="69">
        <f>IFERROR(IF(填写首页!F14="","",填写首页!F14),"")</f>
        <v/>
      </c>
      <c r="F17" s="199" t="n"/>
      <c r="G17" s="198" t="n"/>
      <c r="H17" s="67" t="inlineStr">
        <is>
          <t>客户版用途提醒</t>
        </is>
      </c>
      <c r="I17" s="67" t="inlineStr">
        <is>
          <t>只发客户版报价单，不发内部核价表</t>
        </is>
      </c>
      <c r="J17" s="54" t="n"/>
    </row>
    <row r="18" ht="17.25" customHeight="1" s="197">
      <c r="A18" s="65" t="inlineStr">
        <is>
          <t>汇率</t>
        </is>
      </c>
      <c r="B18" s="78">
        <f>IFERROR(IF(填写首页!D9="","",填写首页!D9),"")</f>
        <v/>
      </c>
      <c r="C18" s="198" t="n"/>
      <c r="D18" s="65" t="inlineStr">
        <is>
          <t>溢水孔（台盆）</t>
        </is>
      </c>
      <c r="E18" s="69">
        <f>IFERROR(IF(填写首页!H14="","",填写首页!H14),"")</f>
        <v/>
      </c>
      <c r="F18" s="199" t="n"/>
      <c r="G18" s="198" t="n"/>
      <c r="H18" s="67" t="n"/>
      <c r="I18" s="67" t="n"/>
      <c r="J18" s="54" t="n"/>
    </row>
    <row r="19" ht="17.25" customHeight="1" s="197">
      <c r="A19" s="65" t="inlineStr">
        <is>
          <t>有效期（天）</t>
        </is>
      </c>
      <c r="B19" s="78">
        <f>IFERROR(IF(填写首页!B10="","",填写首页!B10),"")</f>
        <v/>
      </c>
      <c r="C19" s="198" t="n"/>
      <c r="D19" s="65" t="inlineStr">
        <is>
          <t>是否含下水/安装件</t>
        </is>
      </c>
      <c r="E19" s="69">
        <f>IFERROR(IF(填写首页!F13="","",填写首页!F13),"")</f>
        <v/>
      </c>
      <c r="F19" s="73" t="n"/>
      <c r="G19" s="79" t="n"/>
      <c r="H19" s="204" t="inlineStr">
        <is>
          <t>填写顺序</t>
        </is>
      </c>
      <c r="I19" s="189" t="n"/>
      <c r="J19" s="189" t="n"/>
    </row>
    <row r="20" ht="17.25" customHeight="1" s="197">
      <c r="A20" s="65" t="inlineStr">
        <is>
          <t>MOQ（件）</t>
        </is>
      </c>
      <c r="B20" s="78">
        <f>IFERROR(IF(填写首页!D10="","",填写首页!D10),"")</f>
        <v/>
      </c>
      <c r="C20" s="198" t="n"/>
      <c r="D20" s="65" t="inlineStr">
        <is>
          <t>下水/安装件参考</t>
        </is>
      </c>
      <c r="E20" s="198" t="n"/>
      <c r="F20" s="73">
        <f>IFERROR(IF(AND(OR(Input!$B$9="台上盆",Input!$B$9="台下盆",Input!$B$9="立柱盆/半柱盆"),E19="是"),IFERROR(VLOOKUP(B9,Library!$A$5:$L$10,6,FALSE),0),0),"")</f>
        <v/>
      </c>
      <c r="G20" s="74">
        <f>IFERROR(IF(填写首页!H9="","",填写首页!H9),"")</f>
        <v/>
      </c>
      <c r="H20" s="202" t="inlineStr">
        <is>
          <t>1. 默认直接填工厂本体成本；人工/包装等在下方自动计算或手动覆盖。</t>
        </is>
      </c>
      <c r="I20" s="189" t="n"/>
      <c r="J20" s="6" t="n"/>
    </row>
    <row r="21" ht="17.25" customHeight="1" s="197">
      <c r="A21" s="65" t="inlineStr">
        <is>
          <t>交期（天）</t>
        </is>
      </c>
      <c r="B21" s="78">
        <f>IFERROR(IF(填写首页!B11="","",填写首页!B11),"")</f>
        <v/>
      </c>
      <c r="C21" s="198" t="n"/>
      <c r="D21" s="65" t="inlineStr">
        <is>
          <t>下水/安装件最终单价</t>
        </is>
      </c>
      <c r="E21" s="198" t="n"/>
      <c r="F21" s="199">
        <f>IFERROR(F20,"")</f>
        <v/>
      </c>
      <c r="G21" s="67">
        <f>IFERROR(IF(G20="",F20,G20),"")</f>
        <v/>
      </c>
      <c r="H21" s="202" t="inlineStr">
        <is>
          <t>2. 需要旧表口径时，填本体成本，并在⑦区填包装、人工、损耗、间接、物流覆盖。</t>
        </is>
      </c>
      <c r="I21" s="189" t="n"/>
      <c r="J21" s="6" t="n"/>
    </row>
    <row r="22" ht="17.25" customHeight="1" s="197">
      <c r="A22" s="55" t="inlineStr">
        <is>
          <t>自产目标毛利率</t>
        </is>
      </c>
      <c r="B22" s="53">
        <f>IFERROR(IF(填写首页!B12="","",填写首页!B12),"")</f>
        <v/>
      </c>
      <c r="C22" s="198" t="n"/>
      <c r="D22" s="65" t="inlineStr">
        <is>
          <t>产品长 mm</t>
        </is>
      </c>
      <c r="E22" s="78">
        <f>IFERROR(IF(填写首页!F15="","",填写首页!F15),"")</f>
        <v/>
      </c>
      <c r="F22" s="199" t="n"/>
      <c r="G22" s="198" t="n"/>
      <c r="H22" s="202" t="inlineStr">
        <is>
          <t>3. 蓝灰区域是自动公式，不要手动改。</t>
        </is>
      </c>
      <c r="I22" s="189" t="n"/>
      <c r="J22" s="6" t="n"/>
    </row>
    <row r="23" ht="17.25" customHeight="1" s="197">
      <c r="A23" s="55" t="inlineStr">
        <is>
          <t>底线净毛利率</t>
        </is>
      </c>
      <c r="B23" s="53">
        <f>IFERROR(IF(填写首页!B13="","",填写首页!B13),"")</f>
        <v/>
      </c>
      <c r="C23" s="198" t="n"/>
      <c r="D23" s="65" t="inlineStr">
        <is>
          <t>产品宽 mm</t>
        </is>
      </c>
      <c r="E23" s="78">
        <f>IFERROR(IF(填写首页!H15="","",填写首页!H15),"")</f>
        <v/>
      </c>
      <c r="F23" s="199" t="n"/>
      <c r="G23" s="198" t="n"/>
      <c r="H23" s="202" t="inlineStr">
        <is>
          <t>4. 给客户用 CustomerQuote，内部核价用 InternalCost。</t>
        </is>
      </c>
      <c r="I23" s="189" t="n"/>
      <c r="J23" s="6" t="n"/>
    </row>
    <row r="24" ht="17.25" customHeight="1" s="197">
      <c r="A24" s="55" t="inlineStr">
        <is>
          <t>佣金预留</t>
        </is>
      </c>
      <c r="B24" s="53">
        <f>IFERROR(IF(填写首页!D13="","",填写首页!D13),"")</f>
        <v/>
      </c>
      <c r="C24" s="198" t="n"/>
      <c r="D24" s="65" t="inlineStr">
        <is>
          <t>产品高 mm</t>
        </is>
      </c>
      <c r="E24" s="78">
        <f>IFERROR(IF(填写首页!F16="","",填写首页!F16),"")</f>
        <v/>
      </c>
      <c r="F24" s="199" t="n"/>
      <c r="G24" s="198" t="n"/>
      <c r="H24" s="202" t="inlineStr">
        <is>
          <t>5. 装柜量来自 Packing 自动测算。</t>
        </is>
      </c>
      <c r="I24" s="189" t="n"/>
      <c r="J24" s="6" t="n"/>
    </row>
    <row r="25" ht="17.25" customHeight="1" s="197">
      <c r="A25" s="55" t="inlineStr">
        <is>
          <t>售后风险预留</t>
        </is>
      </c>
      <c r="B25" s="53">
        <f>IFERROR(IF(填写首页!B14="","",填写首页!B14),"")</f>
        <v/>
      </c>
      <c r="C25" s="198" t="n"/>
      <c r="D25" s="65" t="inlineStr">
        <is>
          <t>净重 KG</t>
        </is>
      </c>
      <c r="E25" s="78">
        <f>IFERROR(IF(填写首页!H16="","",填写首页!H16),"")</f>
        <v/>
      </c>
      <c r="F25" s="199" t="n"/>
      <c r="G25" s="198" t="n"/>
      <c r="H25" s="198" t="n"/>
      <c r="I25" s="189" t="n"/>
      <c r="J25" s="6" t="n"/>
    </row>
    <row r="26" ht="17.25" customHeight="1" s="197">
      <c r="A26" s="55" t="inlineStr">
        <is>
          <t>汇率风险预留</t>
        </is>
      </c>
      <c r="B26" s="53">
        <f>IFERROR(IF(填写首页!D14="","",填写首页!D14),"")</f>
        <v/>
      </c>
      <c r="C26" s="198" t="n"/>
      <c r="D26" s="65" t="inlineStr">
        <is>
          <t>每箱件数</t>
        </is>
      </c>
      <c r="E26" s="78">
        <f>IFERROR(IF(填写首页!F17="","",填写首页!F17),"")</f>
        <v/>
      </c>
      <c r="F26" s="199" t="n"/>
      <c r="G26" s="198" t="n"/>
      <c r="H26" s="198" t="n"/>
      <c r="I26" s="189" t="n"/>
      <c r="J26" s="6" t="n"/>
    </row>
    <row r="27" ht="17.25" customHeight="1" s="197">
      <c r="A27" s="55" t="inlineStr">
        <is>
          <t>经营费用率</t>
        </is>
      </c>
      <c r="B27" s="53">
        <f>IFERROR(IF(填写首页!B15="","",填写首页!B15),"")</f>
        <v/>
      </c>
      <c r="C27" s="198" t="n"/>
      <c r="D27" s="65" t="inlineStr">
        <is>
          <t>单件摊分体积 CBM</t>
        </is>
      </c>
      <c r="E27" s="253">
        <f>IFERROR(Packing!$B$22,"")</f>
        <v/>
      </c>
      <c r="F27" s="199" t="inlineStr">
        <is>
          <t>外箱尺寸</t>
        </is>
      </c>
      <c r="G27" s="67">
        <f>IFERROR(TEXT(Packing!$B$18,"0")&amp;" x "&amp;TEXT(Packing!$B$19,"0")&amp;" x "&amp;TEXT(Packing!$B$20,"0")&amp;" mm","")</f>
        <v/>
      </c>
      <c r="H27" s="198" t="n"/>
      <c r="I27" s="189" t="n"/>
      <c r="J27" s="6" t="n"/>
    </row>
    <row r="28" ht="17.25" customHeight="1" s="197">
      <c r="A28" s="55" t="inlineStr">
        <is>
          <t>外购目标毛利率</t>
        </is>
      </c>
      <c r="B28" s="53">
        <f>IFERROR(IF(填写首页!D12="","",填写首页!D12),"")</f>
        <v/>
      </c>
      <c r="C28" s="198" t="n"/>
      <c r="D28" s="65" t="inlineStr">
        <is>
          <t>单件摊分毛重 KG</t>
        </is>
      </c>
      <c r="E28" s="253">
        <f>IFERROR(Packing!$B$28,"")</f>
        <v/>
      </c>
      <c r="F28" s="199" t="inlineStr">
        <is>
          <t>装柜测算</t>
        </is>
      </c>
      <c r="G28" s="67">
        <f>IFERROR(IF(N($G$45)&gt;0,$G$45&amp;" 件/柜，手动覆盖",Packing!$B$36&amp;" 件/柜，"&amp;Packing!$B$37),"")</f>
        <v/>
      </c>
      <c r="H28" s="198" t="n"/>
      <c r="I28" s="198" t="n"/>
      <c r="J28" s="54" t="n"/>
    </row>
    <row r="29" ht="17.25" customHeight="1" s="197">
      <c r="A29" s="198" t="n"/>
      <c r="B29" s="198" t="n"/>
      <c r="C29" s="198" t="n"/>
      <c r="D29" s="65" t="inlineStr">
        <is>
          <t>柜型</t>
        </is>
      </c>
      <c r="E29" s="69">
        <f>IFERROR(IF(填写首页!H5="","",填写首页!H5),"")</f>
        <v/>
      </c>
      <c r="F29" s="199" t="n"/>
      <c r="G29" s="198" t="n"/>
      <c r="H29" s="198" t="n"/>
      <c r="I29" s="198" t="n"/>
      <c r="J29" s="54" t="n"/>
    </row>
    <row r="30" ht="17.25" customHeight="1" s="197">
      <c r="A30" s="198" t="n"/>
      <c r="B30" s="198" t="n"/>
      <c r="C30" s="198" t="n"/>
      <c r="D30" s="65" t="inlineStr">
        <is>
          <t>认证要求</t>
        </is>
      </c>
      <c r="E30" s="69">
        <f>IFERROR(IF(填写首页!F10="","",填写首页!F10),"")</f>
        <v/>
      </c>
      <c r="F30" s="73">
        <f>IFERROR(IF(E30="无",0,IFERROR(VLOOKUP(B9,Library!$A$5:$L$10,10,FALSE),0)),"")</f>
        <v/>
      </c>
      <c r="G30" s="74">
        <f>IFERROR(IF(填写首页!H10="","",填写首页!H10),"")</f>
        <v/>
      </c>
      <c r="H30" s="198" t="n"/>
      <c r="I30" s="198" t="n"/>
      <c r="J30" s="54" t="n"/>
    </row>
    <row r="31" ht="17.25" customHeight="1" s="197">
      <c r="A31" s="198" t="n"/>
      <c r="B31" s="198" t="n"/>
      <c r="C31" s="198" t="n"/>
      <c r="D31" s="65" t="inlineStr">
        <is>
          <t>客户备注</t>
        </is>
      </c>
      <c r="E31" s="69">
        <f>IFERROR(IF(填写首页!H17="","",填写首页!H17),"")</f>
        <v/>
      </c>
      <c r="F31" s="199" t="n"/>
      <c r="G31" s="198" t="n"/>
      <c r="H31" s="198" t="n"/>
      <c r="I31" s="198" t="n"/>
      <c r="J31" s="54" t="n"/>
    </row>
    <row r="32" ht="17.25" customHeight="1" s="197">
      <c r="A32" s="198" t="n"/>
      <c r="B32" s="198" t="n"/>
      <c r="C32" s="198" t="n"/>
      <c r="D32" s="65" t="inlineStr">
        <is>
          <t>内部备注</t>
        </is>
      </c>
      <c r="E32" s="69">
        <f>IFERROR(IF(填写首页!F18="","",填写首页!F18),"")</f>
        <v/>
      </c>
      <c r="F32" s="199" t="n"/>
      <c r="G32" s="198" t="n"/>
      <c r="H32" s="198" t="n"/>
      <c r="I32" s="198" t="n"/>
      <c r="J32" s="54" t="n"/>
    </row>
    <row r="33">
      <c r="A33" s="54" t="n"/>
      <c r="B33" s="54" t="n"/>
      <c r="C33" s="54" t="n"/>
      <c r="D33" s="54" t="n"/>
      <c r="E33" s="54" t="n"/>
      <c r="F33" s="54" t="n"/>
      <c r="G33" s="54" t="n"/>
      <c r="H33" s="54" t="n"/>
      <c r="I33" s="54" t="n"/>
      <c r="J33" s="54" t="n"/>
    </row>
    <row r="34">
      <c r="A34" s="54" t="n"/>
      <c r="B34" s="54" t="n"/>
      <c r="C34" s="54" t="n"/>
      <c r="D34" s="7" t="inlineStr">
        <is>
          <t>盖板独立物流计入</t>
        </is>
      </c>
      <c r="E34" s="7" t="inlineStr">
        <is>
          <t>盖板物流仅参考</t>
        </is>
      </c>
      <c r="F34" s="7" t="inlineStr">
        <is>
          <t>盖板外箱尺寸</t>
        </is>
      </c>
      <c r="G34" s="7">
        <f>IF(Packing!$B$55=0,"",TEXT(Packing!$B$52,"0")&amp;" x "&amp;TEXT(Packing!$B$53,"0")&amp;" x "&amp;TEXT(Packing!$B$54,"0")&amp;" mm")</f>
        <v/>
      </c>
      <c r="H34" s="54" t="n"/>
      <c r="I34" s="54" t="n"/>
      <c r="J34" s="54" t="n"/>
    </row>
    <row r="35">
      <c r="A35" s="54" t="n"/>
      <c r="B35" s="54" t="n"/>
      <c r="C35" s="54" t="n"/>
      <c r="D35" s="7" t="inlineStr">
        <is>
          <t>盖板长 mm</t>
        </is>
      </c>
      <c r="E35" s="7">
        <f>IF(填写首页!D25="","",填写首页!D25)</f>
        <v/>
      </c>
      <c r="F35" s="7" t="inlineStr">
        <is>
          <t>盖板单箱CBM</t>
        </is>
      </c>
      <c r="G35" s="7">
        <f>Packing!$B$55</f>
        <v/>
      </c>
      <c r="H35" s="54" t="n"/>
      <c r="I35" s="54" t="n"/>
      <c r="J35" s="54" t="n"/>
    </row>
    <row r="36">
      <c r="A36" s="54" t="n"/>
      <c r="B36" s="54" t="n"/>
      <c r="C36" s="54" t="n"/>
      <c r="D36" s="7" t="inlineStr">
        <is>
          <t>盖板宽 mm</t>
        </is>
      </c>
      <c r="E36" s="7">
        <f>IF(填写首页!F25="","",填写首页!F25)</f>
        <v/>
      </c>
      <c r="F36" s="7" t="inlineStr">
        <is>
          <t>盖板单箱毛重</t>
        </is>
      </c>
      <c r="G36" s="7">
        <f>Packing!$B$59</f>
        <v/>
      </c>
      <c r="H36" s="54" t="n"/>
      <c r="I36" s="54" t="n"/>
      <c r="J36" s="54" t="n"/>
    </row>
    <row r="37">
      <c r="A37" s="54" t="n"/>
      <c r="B37" s="54" t="n"/>
      <c r="C37" s="54" t="n"/>
      <c r="D37" s="7" t="inlineStr">
        <is>
          <t>盖板高 mm</t>
        </is>
      </c>
      <c r="E37" s="7">
        <f>IF(填写首页!H25="","",填写首页!H25)</f>
        <v/>
      </c>
      <c r="F37" s="7" t="inlineStr">
        <is>
          <t>盖板单套毛重</t>
        </is>
      </c>
      <c r="G37" s="7">
        <f>Packing!$B$60</f>
        <v/>
      </c>
      <c r="H37" s="54" t="n"/>
      <c r="I37" s="54" t="n"/>
      <c r="J37" s="54" t="n"/>
    </row>
    <row r="38">
      <c r="A38" s="54" t="n"/>
      <c r="B38" s="54" t="n"/>
      <c r="C38" s="54" t="n"/>
      <c r="D38" s="7" t="inlineStr">
        <is>
          <t>盖板净重 KG/套</t>
        </is>
      </c>
      <c r="E38" s="7">
        <f>IF(填写首页!B26="","",填写首页!B26)</f>
        <v/>
      </c>
      <c r="F38" s="7" t="inlineStr">
        <is>
          <t>盖板装柜量</t>
        </is>
      </c>
      <c r="G38" s="7">
        <f>Packing!$B$64</f>
        <v/>
      </c>
      <c r="H38" s="54" t="n"/>
      <c r="I38" s="54" t="n"/>
      <c r="J38" s="54" t="n"/>
    </row>
    <row r="39">
      <c r="A39" s="54" t="n"/>
      <c r="B39" s="54" t="n"/>
      <c r="C39" s="54" t="n"/>
      <c r="D39" s="7" t="inlineStr">
        <is>
          <t>盖板每箱套数</t>
        </is>
      </c>
      <c r="E39" s="7">
        <f>IF(填写首页!D26="","",填写首页!D26)</f>
        <v/>
      </c>
      <c r="F39" s="7" t="inlineStr">
        <is>
          <t>盖板柜数</t>
        </is>
      </c>
      <c r="G39" s="7">
        <f>Packing!$B$65</f>
        <v/>
      </c>
      <c r="H39" s="54" t="n"/>
      <c r="I39" s="54" t="n"/>
      <c r="J39" s="54" t="n"/>
    </row>
    <row r="40" ht="26" customHeight="1" s="197">
      <c r="A40" s="54" t="n"/>
      <c r="B40" s="54" t="n"/>
      <c r="C40" s="54" t="n"/>
      <c r="D40" s="7" t="inlineStr">
        <is>
          <t>盖板箱外扩 mm</t>
        </is>
      </c>
      <c r="E40" s="7">
        <f>IF(填写首页!F26="","",填写首页!F26)</f>
        <v/>
      </c>
      <c r="F40" s="7" t="inlineStr">
        <is>
          <t>盖板参考物流RMB/套</t>
        </is>
      </c>
      <c r="G40" s="7">
        <f>Packing!$B$66</f>
        <v/>
      </c>
      <c r="H40" s="54" t="n"/>
      <c r="I40" s="54" t="n"/>
      <c r="J40" s="54" t="n"/>
    </row>
    <row r="41">
      <c r="A41" s="54" t="n"/>
      <c r="B41" s="54" t="n"/>
      <c r="C41" s="54" t="n"/>
      <c r="D41" s="7" t="inlineStr">
        <is>
          <t>盖板辅材 KG/箱</t>
        </is>
      </c>
      <c r="E41" s="7">
        <f>IF(填写首页!H26="","",填写首页!H26)</f>
        <v/>
      </c>
      <c r="F41" s="7" t="inlineStr">
        <is>
          <t>盖板报价处理</t>
        </is>
      </c>
      <c r="G41" s="7" t="n">
        <v>0</v>
      </c>
      <c r="H41" s="54" t="n"/>
      <c r="I41" s="54" t="n"/>
      <c r="J41" s="54" t="n"/>
    </row>
    <row r="42">
      <c r="A42" s="54" t="n"/>
      <c r="B42" s="54" t="n"/>
      <c r="C42" s="54" t="n"/>
      <c r="D42" s="7" t="inlineStr">
        <is>
          <t>盖板纸板密度 KG/㎡</t>
        </is>
      </c>
      <c r="E42" s="7">
        <f>IF(填写首页!B27="","",填写首页!B27)</f>
        <v/>
      </c>
      <c r="F42" s="7" t="inlineStr">
        <is>
          <t>盖板限制因素</t>
        </is>
      </c>
      <c r="G42" s="7">
        <f>Packing!$B$68</f>
        <v/>
      </c>
      <c r="H42" s="54" t="n"/>
      <c r="I42" s="54" t="n"/>
      <c r="J42" s="54" t="n"/>
    </row>
    <row r="43" ht="56" customHeight="1" s="197">
      <c r="A43" s="54" t="n"/>
      <c r="B43" s="54" t="n"/>
      <c r="C43" s="54" t="n"/>
      <c r="D43" s="81" t="inlineStr">
        <is>
          <t>盖板价格口径</t>
        </is>
      </c>
      <c r="E43" s="82" t="inlineStr">
        <is>
          <t>FOB进仓价</t>
        </is>
      </c>
      <c r="F43" s="82" t="inlineStr">
        <is>
          <t>统一口径说明</t>
        </is>
      </c>
      <c r="G43" s="54" t="inlineStr">
        <is>
          <t>外购件按FOB进仓价录入；盖板独立包装/物流只作体积/装柜参考，不重复计入BOM。</t>
        </is>
      </c>
      <c r="H43" s="54" t="n"/>
      <c r="I43" s="54" t="n"/>
      <c r="J43" s="54" t="n"/>
    </row>
    <row r="44">
      <c r="D44" s="58" t="inlineStr">
        <is>
          <t>马桶报价方式</t>
        </is>
      </c>
      <c r="E44" s="59">
        <f>IFERROR(IF(填写首页!F4="","工厂本体成本直接填",填写首页!F4),"工厂本体成本直接填")</f>
        <v/>
      </c>
      <c r="F44" s="59" t="inlineStr">
        <is>
          <t>是否直填成本</t>
        </is>
      </c>
      <c r="G44" s="117">
        <f>IF(AND(OR(B9="分体马桶",B9="连体马桶",B9="挂墙马桶"),OR(E44="工厂本体成本直接填",E44="工厂成本价直接填",E44="工厂成本价直填")),"是","否")</f>
        <v/>
      </c>
    </row>
    <row r="45" ht="28" customHeight="1" s="197">
      <c r="D45" s="58" t="inlineStr">
        <is>
          <t>工厂本体成本 RMB/件</t>
        </is>
      </c>
      <c r="E45" s="59">
        <f>IFERROR(IF(填写首页!H4="","",填写首页!H4),"")</f>
        <v/>
      </c>
      <c r="F45" s="59" t="inlineStr">
        <is>
          <t>手动装柜量 件/柜</t>
        </is>
      </c>
      <c r="G45" s="117">
        <f>IFERROR(IF(填写首页!F5="","",填写首页!F5),"")</f>
        <v/>
      </c>
    </row>
    <row r="46" ht="70" customHeight="1" s="197">
      <c r="D46" s="58" t="inlineStr">
        <is>
          <t>直填模式说明</t>
        </is>
      </c>
      <c r="E46" s="59" t="inlineStr">
        <is>
          <t>工厂本体成本仅替代VC cost本体行；包装、人工、损耗、间接费、物流另计或用手动覆盖</t>
        </is>
      </c>
      <c r="F46" s="59" t="inlineStr">
        <is>
          <t>配件处理</t>
        </is>
      </c>
      <c r="G46" s="117" t="inlineStr">
        <is>
          <t>手动覆盖填入后优先使用；空白则按Library/BOM/Packing自动计算</t>
        </is>
      </c>
    </row>
    <row r="47">
      <c r="D47" s="58" t="inlineStr">
        <is>
          <t>包装材料覆盖</t>
        </is>
      </c>
      <c r="E47" s="59">
        <f>IFERROR(IF(填写首页!B20="","",填写首页!B20),"")</f>
        <v/>
      </c>
      <c r="F47" s="58" t="inlineStr">
        <is>
          <t>生产人工覆盖</t>
        </is>
      </c>
      <c r="G47" s="59">
        <f>IFERROR(IF(填写首页!D20="","",填写首页!D20),"")</f>
        <v/>
      </c>
    </row>
    <row r="48">
      <c r="D48" s="58" t="inlineStr">
        <is>
          <t>包装人工覆盖</t>
        </is>
      </c>
      <c r="E48" s="59">
        <f>IFERROR(IF(填写首页!F20="","",填写首页!F20),"")</f>
        <v/>
      </c>
      <c r="F48" s="58" t="inlineStr">
        <is>
          <t>损耗覆盖</t>
        </is>
      </c>
      <c r="G48" s="59">
        <f>IFERROR(IF(填写首页!H20="","",填写首页!H20),"")</f>
        <v/>
      </c>
    </row>
    <row r="49">
      <c r="D49" s="58" t="inlineStr">
        <is>
          <t>模具/制造间接覆盖</t>
        </is>
      </c>
      <c r="E49" s="59">
        <f>IFERROR(IF(填写首页!B21="","",填写首页!B21),"")</f>
        <v/>
      </c>
      <c r="F49" s="58" t="inlineStr">
        <is>
          <t>管理费覆盖</t>
        </is>
      </c>
      <c r="G49" s="59">
        <f>IFERROR(IF(填写首页!D21="","",填写首页!D21),"")</f>
        <v/>
      </c>
    </row>
    <row r="50" ht="28" customHeight="1" s="197">
      <c r="D50" s="58" t="inlineStr">
        <is>
          <t>物流覆盖</t>
        </is>
      </c>
      <c r="E50" s="59">
        <f>IFERROR(IF(填写首页!F21="","",填写首页!F21),"")</f>
        <v/>
      </c>
      <c r="F50" s="58" t="inlineStr">
        <is>
          <t>覆盖说明</t>
        </is>
      </c>
      <c r="G50" s="59" t="inlineStr">
        <is>
          <t>手动覆盖按RMB/件直接计入；空白时自动计算</t>
        </is>
      </c>
    </row>
  </sheetData>
  <sheetProtection selectLockedCells="0" selectUnlockedCells="0" sheet="1" objects="0" insertRows="1" insertHyperlinks="1" autoFilter="1" scenarios="0" formatColumns="1" deleteColumns="1" insertColumns="1" pivotTables="1" deleteRows="1" formatCells="1" formatRows="1" sort="1"/>
  <mergeCells count="17">
    <mergeCell ref="H25:I25"/>
    <mergeCell ref="F2:G2"/>
    <mergeCell ref="A2:B2"/>
    <mergeCell ref="H2:I2"/>
    <mergeCell ref="H21:I21"/>
    <mergeCell ref="D2:E2"/>
    <mergeCell ref="D3:G3"/>
    <mergeCell ref="H20:I20"/>
    <mergeCell ref="H24:I24"/>
    <mergeCell ref="H19:J19"/>
    <mergeCell ref="H26:I26"/>
    <mergeCell ref="A1:I1"/>
    <mergeCell ref="H23:I23"/>
    <mergeCell ref="H22:I22"/>
    <mergeCell ref="A3:B3"/>
    <mergeCell ref="H27:I27"/>
    <mergeCell ref="H3:I3"/>
  </mergeCells>
  <dataValidations count="11">
    <dataValidation sqref="B9" showDropDown="0" showInputMessage="0" showErrorMessage="0" allowBlank="0" type="list">
      <formula1>"分体马桶,连体马桶,挂墙马桶,台上盆,台下盆,立柱盆/半柱盆"</formula1>
    </dataValidation>
    <dataValidation sqref="B12" showDropDown="0" showInputMessage="0" showErrorMessage="0" allowBlank="0" type="list">
      <formula1>"美国,欧洲,中东,亚洲,其他"</formula1>
    </dataValidation>
    <dataValidation sqref="B13" showDropDown="0" showInputMessage="0" showErrorMessage="0" allowBlank="0" type="list">
      <formula1>"EXW,FOB,CFR,CIF,DDP"</formula1>
    </dataValidation>
    <dataValidation sqref="B14" showDropDown="0" showInputMessage="0" showErrorMessage="0" allowBlank="0" type="list">
      <formula1>"Incoterms 2020,Incoterms 2010"</formula1>
    </dataValidation>
    <dataValidation sqref="E8:E9 E14 E17 E19" showDropDown="0" showInputMessage="0" showErrorMessage="0" allowBlank="0" type="list">
      <formula1>"是,否"</formula1>
    </dataValidation>
    <dataValidation sqref="E22 E27" showDropDown="0" showInputMessage="0" showErrorMessage="0" allowBlank="0" type="list">
      <formula1>"40HQ,40GP,20GP"</formula1>
    </dataValidation>
    <dataValidation sqref="E23 E28 E30" showDropDown="0" showInputMessage="0" showErrorMessage="0" allowBlank="0" type="list">
      <formula1>"无,CE,WaterMark,UPC,SASO,客户指定"</formula1>
    </dataValidation>
    <dataValidation sqref="E13" showDropDown="0" showInputMessage="0" showErrorMessage="0" allowBlank="0" type="list">
      <formula1>"常规缓降,快拆缓降,金属铰链"</formula1>
    </dataValidation>
    <dataValidation sqref="E18" showDropDown="0" showInputMessage="0" showErrorMessage="0" allowBlank="0" type="list">
      <formula1>"有,无"</formula1>
    </dataValidation>
    <dataValidation sqref="E11" showDropDown="0" showInputMessage="1" showErrorMessage="1" allowBlank="0" type="list">
      <formula1>"PP 普通,PP 缓降,UF 缓降,UF 快拆,薄盖快拆,智能盖板"</formula1>
    </dataValidation>
    <dataValidation sqref="E12" showDropDown="0" showInputMessage="1" showErrorMessage="1" allowBlank="0" type="list">
      <formula1>"常规,常规缓降,快拆缓降,不锈钢铰链,锌合金铰链,金属铰链"</formula1>
    </dataValidation>
  </dataValidations>
  <pageMargins left="0.7" right="0.7" top="0.75" bottom="0.75" header="0.3" footer="0.3"/>
</worksheet>
</file>

<file path=xl/worksheets/sheet4.xml><?xml version="1.0" encoding="utf-8"?>
<worksheet xmlns="http://schemas.openxmlformats.org/spreadsheetml/2006/main">
  <sheetPr>
    <tabColor rgb="FF8064A2"/>
    <outlinePr summaryBelow="1" summaryRight="1"/>
    <pageSetUpPr/>
  </sheetPr>
  <dimension ref="A1:U48"/>
  <sheetViews>
    <sheetView showGridLines="0" workbookViewId="0">
      <pane ySplit="21" topLeftCell="A22" activePane="bottomLeft" state="frozen"/>
      <selection pane="bottomLeft" activeCell="K18" sqref="K18"/>
    </sheetView>
  </sheetViews>
  <sheetFormatPr baseColWidth="8" defaultColWidth="8.6328125" defaultRowHeight="14"/>
  <cols>
    <col width="18.81640625" customWidth="1" style="189" min="1" max="1"/>
    <col width="11.453125" customWidth="1" style="189" min="2" max="3"/>
    <col width="12.08984375" customWidth="1" style="189" min="4" max="4"/>
    <col width="12.7265625" customWidth="1" style="189" min="5" max="5"/>
    <col width="14.1796875" customWidth="1" style="189" min="6" max="6"/>
    <col width="12.08984375" customWidth="1" style="189" min="7" max="7"/>
    <col width="12.7265625" customWidth="1" style="189" min="8" max="8"/>
    <col width="13.453125" customWidth="1" style="189" min="9" max="9"/>
    <col width="12.7265625" customWidth="1" style="189" min="10" max="10"/>
    <col width="13.453125" customWidth="1" style="189" min="11" max="12"/>
    <col width="3.36328125" customWidth="1" style="189" min="13" max="13"/>
    <col width="10.453125" bestFit="1" customWidth="1" style="189" min="14" max="14"/>
    <col width="13.36328125" bestFit="1" customWidth="1" style="189" min="15" max="15"/>
    <col width="15.08984375" bestFit="1" customWidth="1" style="189" min="16" max="16"/>
    <col width="24.1796875" bestFit="1" customWidth="1" style="189" min="17" max="17"/>
    <col width="12.08984375" customWidth="1" style="189" min="18" max="18"/>
    <col width="8.6328125" customWidth="1" style="189" min="19" max="27"/>
    <col width="8.6328125" customWidth="1" style="189" min="28" max="16384"/>
  </cols>
  <sheetData>
    <row r="1" ht="25.5" customHeight="1" s="197">
      <c r="A1" s="209" t="inlineStr">
        <is>
          <t>价格库与默认参数</t>
        </is>
      </c>
      <c r="B1" s="189" t="n"/>
      <c r="C1" s="189" t="n"/>
      <c r="D1" s="189" t="n"/>
      <c r="E1" s="189" t="n"/>
      <c r="F1" s="189" t="n"/>
      <c r="G1" s="189" t="n"/>
      <c r="H1" s="189" t="n"/>
      <c r="I1" s="189" t="n"/>
      <c r="J1" s="189" t="n"/>
      <c r="K1" s="189" t="n"/>
      <c r="L1" s="189" t="n"/>
      <c r="M1" s="189" t="n"/>
      <c r="N1" s="189" t="n"/>
      <c r="O1" s="189" t="n"/>
      <c r="P1" s="189" t="n"/>
      <c r="Q1" s="189" t="n"/>
      <c r="R1" s="189" t="n"/>
      <c r="S1" s="54" t="n"/>
      <c r="T1" s="54" t="n"/>
      <c r="U1" s="54" t="n"/>
    </row>
    <row r="2">
      <c r="A2" s="207" t="inlineStr">
        <is>
          <t>长期价格库：平时报价不要改；只有成本、物流、包装规则长期变化时再维护。</t>
        </is>
      </c>
      <c r="B2" s="189" t="n"/>
      <c r="C2" s="189" t="n"/>
      <c r="D2" s="189" t="n"/>
      <c r="E2" s="189" t="n"/>
      <c r="F2" s="189" t="n"/>
      <c r="G2" s="189" t="n"/>
      <c r="H2" s="189" t="n"/>
      <c r="I2" s="189" t="n"/>
      <c r="J2" s="189" t="n"/>
      <c r="K2" s="189" t="n"/>
      <c r="L2" s="189" t="n"/>
      <c r="M2" s="189" t="n"/>
      <c r="N2" s="189" t="n"/>
      <c r="O2" s="189" t="n"/>
      <c r="P2" s="189" t="n"/>
      <c r="Q2" s="189" t="n"/>
      <c r="R2" s="189" t="n"/>
      <c r="S2" s="54" t="n"/>
      <c r="T2" s="54" t="n"/>
      <c r="U2" s="54" t="n"/>
    </row>
    <row r="3">
      <c r="A3" s="206" t="inlineStr">
        <is>
          <t>产品默认成本参数</t>
        </is>
      </c>
      <c r="B3" s="189" t="n"/>
      <c r="C3" s="189" t="n"/>
      <c r="D3" s="189" t="n"/>
      <c r="E3" s="189" t="n"/>
      <c r="F3" s="189" t="n"/>
      <c r="G3" s="189" t="n"/>
      <c r="H3" s="189" t="n"/>
      <c r="I3" s="189" t="n"/>
      <c r="J3" s="189" t="n"/>
      <c r="K3" s="189" t="n"/>
      <c r="L3" s="189" t="n"/>
      <c r="M3" s="54" t="n"/>
      <c r="N3" s="206" t="inlineStr">
        <is>
          <t>盖板成本</t>
        </is>
      </c>
      <c r="O3" s="189" t="n"/>
      <c r="P3" s="189" t="n"/>
      <c r="Q3" s="54" t="n"/>
      <c r="R3" s="54" t="n"/>
      <c r="S3" s="54" t="n"/>
      <c r="T3" s="54" t="n"/>
      <c r="U3" s="54" t="n"/>
    </row>
    <row r="4" ht="28" customHeight="1" s="197">
      <c r="A4" s="208" t="inlineStr">
        <is>
          <t>产品品类</t>
        </is>
      </c>
      <c r="B4" s="208" t="inlineStr">
        <is>
          <t>泥料系数</t>
        </is>
      </c>
      <c r="C4" s="208" t="inlineStr">
        <is>
          <t>泥料单价</t>
        </is>
      </c>
      <c r="D4" s="208" t="inlineStr">
        <is>
          <t>釉料成本</t>
        </is>
      </c>
      <c r="E4" s="208" t="inlineStr">
        <is>
          <t>水件/五金</t>
        </is>
      </c>
      <c r="F4" s="208" t="inlineStr">
        <is>
          <t>台盆下水/安装件</t>
        </is>
      </c>
      <c r="G4" s="208" t="inlineStr">
        <is>
          <t>直接人工</t>
        </is>
      </c>
      <c r="H4" s="208" t="inlineStr">
        <is>
          <t>外箱基础</t>
        </is>
      </c>
      <c r="I4" s="208" t="inlineStr">
        <is>
          <t>外箱CBM系数</t>
        </is>
      </c>
      <c r="J4" s="208" t="inlineStr">
        <is>
          <t>认证默认</t>
        </is>
      </c>
      <c r="K4" s="208" t="inlineStr">
        <is>
          <t>毛重外加KG</t>
        </is>
      </c>
      <c r="L4" s="208" t="inlineStr">
        <is>
          <t>默认装柜量</t>
        </is>
      </c>
      <c r="M4" s="54" t="n"/>
      <c r="N4" s="208" t="inlineStr">
        <is>
          <t>盖板档次</t>
        </is>
      </c>
      <c r="O4" s="208" t="inlineStr">
        <is>
          <t>参考单价 RMB</t>
        </is>
      </c>
      <c r="P4" s="208" t="inlineStr">
        <is>
          <t>默认型号</t>
        </is>
      </c>
      <c r="Q4" s="208" t="inlineStr">
        <is>
          <t>备注</t>
        </is>
      </c>
      <c r="R4" s="54" t="n"/>
      <c r="S4" s="54" t="n"/>
      <c r="T4" s="54" t="n"/>
      <c r="U4" s="54" t="n"/>
    </row>
    <row r="5">
      <c r="A5" s="110" t="inlineStr">
        <is>
          <t>分体马桶</t>
        </is>
      </c>
      <c r="B5" s="111" t="n">
        <v>0.92</v>
      </c>
      <c r="C5" s="112" t="n">
        <v>1.85</v>
      </c>
      <c r="D5" s="112" t="n">
        <v>16</v>
      </c>
      <c r="E5" s="112" t="n">
        <v>58</v>
      </c>
      <c r="F5" s="112" t="n">
        <v>0</v>
      </c>
      <c r="G5" s="114" t="n">
        <v>18</v>
      </c>
      <c r="H5" s="114" t="n">
        <v>8</v>
      </c>
      <c r="I5" s="114" t="n">
        <v>25</v>
      </c>
      <c r="J5" s="112" t="n">
        <v>4</v>
      </c>
      <c r="K5" s="113" t="n">
        <v>4.5</v>
      </c>
      <c r="L5" s="113" t="n">
        <v>520</v>
      </c>
      <c r="M5" s="54" t="n"/>
      <c r="N5" s="8" t="inlineStr">
        <is>
          <t>PP 缓降</t>
        </is>
      </c>
      <c r="O5" s="9" t="n">
        <v>48</v>
      </c>
      <c r="P5" s="8" t="inlineStr">
        <is>
          <t>SC-PP-001</t>
        </is>
      </c>
      <c r="Q5" s="8" t="inlineStr">
        <is>
          <t>常规出口</t>
        </is>
      </c>
      <c r="R5" s="54" t="n"/>
      <c r="S5" s="54" t="n"/>
      <c r="T5" s="54" t="n"/>
      <c r="U5" s="54" t="n"/>
    </row>
    <row r="6">
      <c r="A6" s="110" t="inlineStr">
        <is>
          <t>连体马桶</t>
        </is>
      </c>
      <c r="B6" s="111" t="n">
        <v>0.9399999999999999</v>
      </c>
      <c r="C6" s="112" t="n">
        <v>1.95</v>
      </c>
      <c r="D6" s="112" t="n">
        <v>20</v>
      </c>
      <c r="E6" s="112" t="n">
        <v>72</v>
      </c>
      <c r="F6" s="112" t="n">
        <v>0</v>
      </c>
      <c r="G6" s="114" t="n">
        <v>22</v>
      </c>
      <c r="H6" s="114" t="n">
        <v>10</v>
      </c>
      <c r="I6" s="114" t="n">
        <v>30</v>
      </c>
      <c r="J6" s="112" t="n">
        <v>5</v>
      </c>
      <c r="K6" s="113" t="n">
        <v>5.5</v>
      </c>
      <c r="L6" s="113" t="n">
        <v>430</v>
      </c>
      <c r="M6" s="54" t="n"/>
      <c r="N6" s="8" t="inlineStr">
        <is>
          <t>UF 缓降</t>
        </is>
      </c>
      <c r="O6" s="9" t="n">
        <v>78</v>
      </c>
      <c r="P6" s="8" t="inlineStr">
        <is>
          <t>SC-UF-001</t>
        </is>
      </c>
      <c r="Q6" s="8" t="inlineStr">
        <is>
          <t>中高端</t>
        </is>
      </c>
      <c r="R6" s="54" t="n"/>
      <c r="S6" s="54" t="n"/>
      <c r="T6" s="54" t="n"/>
      <c r="U6" s="54" t="n"/>
    </row>
    <row r="7">
      <c r="A7" s="110" t="inlineStr">
        <is>
          <t>挂墙马桶</t>
        </is>
      </c>
      <c r="B7" s="111" t="n">
        <v>0.9</v>
      </c>
      <c r="C7" s="112" t="n">
        <v>2.05</v>
      </c>
      <c r="D7" s="112" t="n">
        <v>18</v>
      </c>
      <c r="E7" s="112" t="n">
        <v>45</v>
      </c>
      <c r="F7" s="112" t="n">
        <v>0</v>
      </c>
      <c r="G7" s="114" t="n">
        <v>16</v>
      </c>
      <c r="H7" s="114" t="n">
        <v>8</v>
      </c>
      <c r="I7" s="114" t="n">
        <v>25</v>
      </c>
      <c r="J7" s="112" t="n">
        <v>5</v>
      </c>
      <c r="K7" s="113" t="n">
        <v>4.5</v>
      </c>
      <c r="L7" s="113" t="n">
        <v>560</v>
      </c>
      <c r="M7" s="54" t="n"/>
      <c r="N7" s="8" t="inlineStr">
        <is>
          <t>薄盖快拆</t>
        </is>
      </c>
      <c r="O7" s="9" t="n">
        <v>92</v>
      </c>
      <c r="P7" s="8" t="inlineStr">
        <is>
          <t>SC-SLIM-001</t>
        </is>
      </c>
      <c r="Q7" s="8" t="inlineStr">
        <is>
          <t>零售渠道</t>
        </is>
      </c>
      <c r="R7" s="54" t="n"/>
      <c r="S7" s="54" t="n"/>
      <c r="T7" s="54" t="n"/>
      <c r="U7" s="54" t="n"/>
    </row>
    <row r="8">
      <c r="A8" s="110" t="inlineStr">
        <is>
          <t>台上盆</t>
        </is>
      </c>
      <c r="B8" s="111" t="n">
        <v>0.88</v>
      </c>
      <c r="C8" s="112" t="n">
        <v>1.75</v>
      </c>
      <c r="D8" s="112" t="n">
        <v>10</v>
      </c>
      <c r="E8" s="112" t="n">
        <v>0</v>
      </c>
      <c r="F8" s="112" t="n">
        <v>18</v>
      </c>
      <c r="G8" s="114" t="n">
        <v>8</v>
      </c>
      <c r="H8" s="114" t="n">
        <v>4</v>
      </c>
      <c r="I8" s="114" t="n">
        <v>18</v>
      </c>
      <c r="J8" s="112" t="n">
        <v>3</v>
      </c>
      <c r="K8" s="113" t="n">
        <v>2.5</v>
      </c>
      <c r="L8" s="113" t="n">
        <v>900</v>
      </c>
      <c r="M8" s="54" t="n"/>
      <c r="N8" s="8" t="n"/>
      <c r="O8" s="8" t="n"/>
      <c r="P8" s="8" t="n"/>
      <c r="Q8" s="8" t="n"/>
      <c r="R8" s="54" t="n"/>
      <c r="S8" s="54" t="n"/>
      <c r="T8" s="54" t="n"/>
      <c r="U8" s="54" t="n"/>
    </row>
    <row r="9">
      <c r="A9" s="110" t="inlineStr">
        <is>
          <t>台下盆</t>
        </is>
      </c>
      <c r="B9" s="111" t="n">
        <v>0.88</v>
      </c>
      <c r="C9" s="112" t="n">
        <v>1.75</v>
      </c>
      <c r="D9" s="112" t="n">
        <v>9</v>
      </c>
      <c r="E9" s="112" t="n">
        <v>0</v>
      </c>
      <c r="F9" s="112" t="n">
        <v>18</v>
      </c>
      <c r="G9" s="114" t="n">
        <v>7</v>
      </c>
      <c r="H9" s="114" t="n">
        <v>4</v>
      </c>
      <c r="I9" s="114" t="n">
        <v>16</v>
      </c>
      <c r="J9" s="112" t="n">
        <v>3</v>
      </c>
      <c r="K9" s="113" t="n">
        <v>2.2</v>
      </c>
      <c r="L9" s="113" t="n">
        <v>980</v>
      </c>
      <c r="M9" s="54" t="n"/>
      <c r="N9" s="208" t="inlineStr">
        <is>
          <t>铰链附加价</t>
        </is>
      </c>
      <c r="O9" s="189" t="n"/>
      <c r="P9" s="189" t="n"/>
      <c r="Q9" s="189" t="n"/>
      <c r="R9" s="54" t="n"/>
      <c r="S9" s="54" t="n"/>
      <c r="T9" s="54" t="n"/>
      <c r="U9" s="54" t="n"/>
    </row>
    <row r="10">
      <c r="A10" s="110" t="inlineStr">
        <is>
          <t>立柱盆/半柱盆</t>
        </is>
      </c>
      <c r="B10" s="111" t="n">
        <v>0.9</v>
      </c>
      <c r="C10" s="112" t="n">
        <v>1.8</v>
      </c>
      <c r="D10" s="112" t="n">
        <v>14</v>
      </c>
      <c r="E10" s="112" t="n">
        <v>0</v>
      </c>
      <c r="F10" s="112" t="n">
        <v>28</v>
      </c>
      <c r="G10" s="114" t="n">
        <v>14</v>
      </c>
      <c r="H10" s="114" t="n">
        <v>7</v>
      </c>
      <c r="I10" s="114" t="n">
        <v>22</v>
      </c>
      <c r="J10" s="112" t="n">
        <v>4</v>
      </c>
      <c r="K10" s="113" t="n">
        <v>4</v>
      </c>
      <c r="L10" s="113" t="n">
        <v>620</v>
      </c>
      <c r="M10" s="54" t="n"/>
      <c r="N10" s="208" t="inlineStr">
        <is>
          <t>铰链要求</t>
        </is>
      </c>
      <c r="O10" s="208" t="inlineStr">
        <is>
          <t>附加价 RMB</t>
        </is>
      </c>
      <c r="P10" s="208" t="inlineStr">
        <is>
          <t>默认说明</t>
        </is>
      </c>
      <c r="Q10" s="208" t="inlineStr">
        <is>
          <t>备注</t>
        </is>
      </c>
      <c r="R10" s="54" t="n"/>
      <c r="S10" s="54" t="n"/>
      <c r="T10" s="54" t="n"/>
      <c r="U10" s="54" t="n"/>
    </row>
    <row r="11">
      <c r="A11" s="54" t="n"/>
      <c r="B11" s="54" t="n"/>
      <c r="C11" s="54" t="n"/>
      <c r="D11" s="54" t="n"/>
      <c r="E11" s="54" t="n"/>
      <c r="F11" s="54" t="n"/>
      <c r="G11" s="54" t="n"/>
      <c r="H11" s="54" t="n"/>
      <c r="I11" s="54" t="n"/>
      <c r="J11" s="54" t="n"/>
      <c r="K11" s="54" t="n"/>
      <c r="L11" s="54" t="n"/>
      <c r="M11" s="54" t="n"/>
      <c r="N11" s="8" t="inlineStr">
        <is>
          <t>常规缓降</t>
        </is>
      </c>
      <c r="O11" s="9" t="n">
        <v>0</v>
      </c>
      <c r="P11" s="8" t="inlineStr">
        <is>
          <t>标准配置</t>
        </is>
      </c>
      <c r="Q11" s="8" t="n"/>
      <c r="R11" s="54" t="n"/>
      <c r="S11" s="54" t="n"/>
      <c r="T11" s="54" t="n"/>
      <c r="U11" s="54" t="n"/>
    </row>
    <row r="12">
      <c r="A12" s="54" t="n"/>
      <c r="B12" s="54" t="n"/>
      <c r="C12" s="54" t="n"/>
      <c r="D12" s="54" t="n"/>
      <c r="E12" s="54" t="n"/>
      <c r="F12" s="54" t="n"/>
      <c r="G12" s="54" t="n"/>
      <c r="H12" s="54" t="n"/>
      <c r="I12" s="54" t="n"/>
      <c r="J12" s="54" t="n"/>
      <c r="K12" s="54" t="n"/>
      <c r="L12" s="54" t="n"/>
      <c r="M12" s="54" t="n"/>
      <c r="N12" s="8" t="inlineStr">
        <is>
          <t>快拆缓降</t>
        </is>
      </c>
      <c r="O12" s="9" t="n">
        <v>8</v>
      </c>
      <c r="P12" s="8" t="inlineStr">
        <is>
          <t>快拆升级</t>
        </is>
      </c>
      <c r="Q12" s="8" t="n"/>
      <c r="R12" s="54" t="n"/>
      <c r="S12" s="54" t="n"/>
      <c r="T12" s="54" t="n"/>
      <c r="U12" s="54" t="n"/>
    </row>
    <row r="13">
      <c r="A13" s="206" t="inlineStr">
        <is>
          <t>贸易条款包含费用</t>
        </is>
      </c>
      <c r="B13" s="189" t="n"/>
      <c r="C13" s="189" t="n"/>
      <c r="D13" s="189" t="n"/>
      <c r="E13" s="189" t="n"/>
      <c r="F13" s="189" t="n"/>
      <c r="G13" s="54" t="n"/>
      <c r="H13" s="206" t="inlineStr">
        <is>
          <t>市场海运费用/柜</t>
        </is>
      </c>
      <c r="I13" s="189" t="n"/>
      <c r="J13" s="189" t="n"/>
      <c r="K13" s="189" t="n"/>
      <c r="L13" s="54" t="n"/>
      <c r="M13" s="54" t="n"/>
      <c r="N13" s="208" t="inlineStr">
        <is>
          <t>金属铰链</t>
        </is>
      </c>
      <c r="O13" s="189" t="n"/>
      <c r="P13" s="189" t="n"/>
      <c r="Q13" s="189" t="n"/>
      <c r="R13" s="189" t="n"/>
      <c r="S13" s="54" t="n"/>
      <c r="T13" s="54" t="n"/>
      <c r="U13" s="54" t="n"/>
    </row>
    <row r="14" ht="28" customHeight="1" s="197">
      <c r="A14" s="84" t="inlineStr">
        <is>
          <t>条款</t>
        </is>
      </c>
      <c r="B14" s="84" t="inlineStr">
        <is>
          <t>出口本地</t>
        </is>
      </c>
      <c r="C14" s="84" t="inlineStr">
        <is>
          <t>海运</t>
        </is>
      </c>
      <c r="D14" s="84" t="inlineStr">
        <is>
          <t>保险</t>
        </is>
      </c>
      <c r="E14" s="84" t="inlineStr">
        <is>
          <t>目的地派送</t>
        </is>
      </c>
      <c r="F14" s="84" t="inlineStr">
        <is>
          <t>说明</t>
        </is>
      </c>
      <c r="G14" s="54" t="n"/>
      <c r="H14" s="84" t="inlineStr">
        <is>
          <t>目标市场</t>
        </is>
      </c>
      <c r="I14" s="84" t="inlineStr">
        <is>
          <t>海运 USD/柜</t>
        </is>
      </c>
      <c r="J14" s="84" t="inlineStr">
        <is>
          <t>保险 RMB/柜</t>
        </is>
      </c>
      <c r="K14" s="84" t="inlineStr">
        <is>
          <t>目的地费用 RMB/柜</t>
        </is>
      </c>
      <c r="L14" s="54" t="n"/>
      <c r="M14" s="54" t="n"/>
      <c r="N14" s="84" t="inlineStr">
        <is>
          <t>柜型</t>
        </is>
      </c>
      <c r="O14" s="84" t="inlineStr">
        <is>
          <t>内陆/提货/进仓</t>
        </is>
      </c>
      <c r="P14" s="84" t="inlineStr">
        <is>
          <t>报关/单证</t>
        </is>
      </c>
      <c r="Q14" s="84" t="inlineStr">
        <is>
          <t>港杂/VGM/THC</t>
        </is>
      </c>
      <c r="R14" s="84" t="inlineStr">
        <is>
          <t>商检/文件/其他</t>
        </is>
      </c>
      <c r="S14" s="54" t="n"/>
      <c r="T14" s="54" t="n"/>
      <c r="U14" s="54" t="n"/>
    </row>
    <row r="15" ht="28" customHeight="1" s="197">
      <c r="A15" s="8" t="inlineStr">
        <is>
          <t>EXW</t>
        </is>
      </c>
      <c r="B15" s="8" t="n">
        <v>0</v>
      </c>
      <c r="C15" s="8" t="n">
        <v>0</v>
      </c>
      <c r="D15" s="8" t="n">
        <v>0</v>
      </c>
      <c r="E15" s="8" t="n">
        <v>0</v>
      </c>
      <c r="F15" s="8" t="inlineStr">
        <is>
          <t>工厂交货，通常不含出口费用</t>
        </is>
      </c>
      <c r="G15" s="54" t="n"/>
      <c r="H15" s="110" t="inlineStr">
        <is>
          <t>美国</t>
        </is>
      </c>
      <c r="I15" s="112" t="n">
        <v>2700</v>
      </c>
      <c r="J15" s="112" t="n">
        <v>10000</v>
      </c>
      <c r="K15" s="112" t="n">
        <v>0</v>
      </c>
      <c r="L15" s="54" t="n"/>
      <c r="M15" s="54" t="n"/>
      <c r="N15" s="116" t="inlineStr">
        <is>
          <t>40HQ</t>
        </is>
      </c>
      <c r="O15" s="114" t="n">
        <v>5500</v>
      </c>
      <c r="P15" s="114" t="n">
        <v>1200</v>
      </c>
      <c r="Q15" s="114" t="n">
        <v>2500</v>
      </c>
      <c r="R15" s="114" t="n">
        <v>800</v>
      </c>
      <c r="S15" s="54" t="n"/>
      <c r="T15" s="54" t="n"/>
      <c r="U15" s="54" t="n"/>
    </row>
    <row r="16" ht="42" customHeight="1" s="197">
      <c r="A16" s="8" t="inlineStr">
        <is>
          <t>FOB</t>
        </is>
      </c>
      <c r="B16" s="8" t="n">
        <v>1</v>
      </c>
      <c r="C16" s="8" t="n">
        <v>0</v>
      </c>
      <c r="D16" s="8" t="n">
        <v>0</v>
      </c>
      <c r="E16" s="8" t="n">
        <v>0</v>
      </c>
      <c r="F16" s="8" t="inlineStr">
        <is>
          <t>含出口本地费用，到装运港船上交货</t>
        </is>
      </c>
      <c r="G16" s="54" t="n"/>
      <c r="H16" s="110" t="inlineStr">
        <is>
          <t>欧洲</t>
        </is>
      </c>
      <c r="I16" s="112" t="n">
        <v>2400</v>
      </c>
      <c r="J16" s="112" t="n">
        <v>380</v>
      </c>
      <c r="K16" s="112" t="n">
        <v>0</v>
      </c>
      <c r="L16" s="54" t="n"/>
      <c r="M16" s="54" t="n"/>
      <c r="N16" s="116" t="inlineStr">
        <is>
          <t>40GP</t>
        </is>
      </c>
      <c r="O16" s="114" t="n">
        <v>5200</v>
      </c>
      <c r="P16" s="114" t="n">
        <v>1200</v>
      </c>
      <c r="Q16" s="114" t="n">
        <v>2300</v>
      </c>
      <c r="R16" s="114" t="n">
        <v>800</v>
      </c>
      <c r="S16" s="54" t="n"/>
      <c r="T16" s="54" t="n"/>
      <c r="U16" s="54" t="n"/>
    </row>
    <row r="17">
      <c r="A17" s="8" t="inlineStr">
        <is>
          <t>CFR</t>
        </is>
      </c>
      <c r="B17" s="8" t="n">
        <v>1</v>
      </c>
      <c r="C17" s="8" t="n">
        <v>1</v>
      </c>
      <c r="D17" s="8" t="n">
        <v>0</v>
      </c>
      <c r="E17" s="8" t="n">
        <v>0</v>
      </c>
      <c r="F17" s="8" t="inlineStr">
        <is>
          <t>FOB + 海运</t>
        </is>
      </c>
      <c r="G17" s="54" t="n"/>
      <c r="H17" s="110" t="inlineStr">
        <is>
          <t>中东</t>
        </is>
      </c>
      <c r="I17" s="112" t="n">
        <v>2150</v>
      </c>
      <c r="J17" s="112" t="n">
        <v>320</v>
      </c>
      <c r="K17" s="112" t="n">
        <v>0</v>
      </c>
      <c r="L17" s="54" t="n"/>
      <c r="M17" s="54" t="n"/>
      <c r="N17" s="116" t="inlineStr">
        <is>
          <t>20GP</t>
        </is>
      </c>
      <c r="O17" s="114" t="n">
        <v>4000</v>
      </c>
      <c r="P17" s="114" t="n">
        <v>1000</v>
      </c>
      <c r="Q17" s="114" t="n">
        <v>1800</v>
      </c>
      <c r="R17" s="114" t="n">
        <v>700</v>
      </c>
      <c r="S17" s="54" t="n"/>
      <c r="T17" s="54" t="n"/>
      <c r="U17" s="54" t="n"/>
    </row>
    <row r="18">
      <c r="A18" s="8" t="inlineStr">
        <is>
          <t>CIF</t>
        </is>
      </c>
      <c r="B18" s="8" t="n">
        <v>1</v>
      </c>
      <c r="C18" s="8" t="n">
        <v>1</v>
      </c>
      <c r="D18" s="8" t="n">
        <v>1</v>
      </c>
      <c r="E18" s="8" t="n">
        <v>0</v>
      </c>
      <c r="F18" s="8" t="inlineStr">
        <is>
          <t>CFR + 保险</t>
        </is>
      </c>
      <c r="G18" s="54" t="n"/>
      <c r="H18" s="110" t="inlineStr">
        <is>
          <t>亚洲</t>
        </is>
      </c>
      <c r="I18" s="112" t="n">
        <v>1350</v>
      </c>
      <c r="J18" s="112" t="n">
        <v>220</v>
      </c>
      <c r="K18" s="112" t="n">
        <v>0</v>
      </c>
      <c r="L18" s="54" t="n"/>
      <c r="M18" s="54" t="n"/>
      <c r="N18" s="54" t="n"/>
      <c r="O18" s="54" t="n"/>
      <c r="P18" s="54" t="n"/>
      <c r="Q18" s="54" t="n"/>
      <c r="R18" s="54" t="n"/>
      <c r="S18" s="54" t="n"/>
      <c r="T18" s="54" t="n"/>
      <c r="U18" s="54" t="n"/>
    </row>
    <row r="19" ht="42" customHeight="1" s="197">
      <c r="A19" s="8" t="inlineStr">
        <is>
          <t>DDP</t>
        </is>
      </c>
      <c r="B19" s="8" t="n">
        <v>1</v>
      </c>
      <c r="C19" s="8" t="n">
        <v>1</v>
      </c>
      <c r="D19" s="8" t="n">
        <v>1</v>
      </c>
      <c r="E19" s="8" t="n">
        <v>1</v>
      </c>
      <c r="F19" s="8" t="inlineStr">
        <is>
          <t>DDP需专案核价；Nigeria海运按USD/柜×汇率计入CFR/CIF</t>
        </is>
      </c>
      <c r="G19" s="54" t="n"/>
      <c r="H19" s="110" t="inlineStr">
        <is>
          <t>其他</t>
        </is>
      </c>
      <c r="I19" s="112" t="n">
        <v>4200</v>
      </c>
      <c r="J19" s="112" t="n">
        <v>600</v>
      </c>
      <c r="K19" s="112" t="n">
        <v>0</v>
      </c>
      <c r="L19" s="54" t="n"/>
      <c r="M19" s="54" t="n"/>
      <c r="N19" s="54" t="n"/>
      <c r="O19" s="54" t="n"/>
      <c r="P19" s="54" t="n"/>
      <c r="Q19" s="54" t="n"/>
      <c r="R19" s="54" t="n"/>
      <c r="S19" s="54" t="n"/>
      <c r="T19" s="54" t="n"/>
      <c r="U19" s="54" t="n"/>
    </row>
    <row r="20">
      <c r="A20" s="54" t="n"/>
      <c r="B20" s="54" t="n"/>
      <c r="C20" s="54" t="n"/>
      <c r="D20" s="54" t="n"/>
      <c r="E20" s="54" t="n"/>
      <c r="F20" s="54" t="n"/>
      <c r="G20" s="54" t="n"/>
      <c r="H20" s="115" t="inlineStr">
        <is>
          <t>Nigeria</t>
        </is>
      </c>
      <c r="I20" s="115" t="n">
        <v>3500</v>
      </c>
      <c r="J20" s="115" t="n">
        <v>10000</v>
      </c>
      <c r="K20" s="54" t="n">
        <v>0</v>
      </c>
      <c r="L20" s="54" t="n"/>
      <c r="M20" s="54" t="n"/>
      <c r="N20" s="54" t="n"/>
      <c r="O20" s="54" t="n"/>
      <c r="P20" s="54" t="n"/>
      <c r="Q20" s="54" t="n"/>
      <c r="R20" s="54" t="n"/>
      <c r="S20" s="54" t="n"/>
      <c r="T20" s="54" t="n"/>
      <c r="U20" s="54" t="n"/>
    </row>
    <row r="21" ht="65" customHeight="1" s="197">
      <c r="A21" s="85" t="inlineStr">
        <is>
          <t>下拉选项维护区：填写首页的标准字段来自这里；新增选项后建议同步更新对应单元格下拉范围。</t>
        </is>
      </c>
      <c r="B21" s="86" t="n"/>
      <c r="C21" s="86" t="n"/>
      <c r="D21" s="86" t="n"/>
      <c r="E21" s="86" t="n"/>
      <c r="F21" s="86" t="n"/>
      <c r="G21" s="86" t="n"/>
      <c r="H21" s="86" t="n"/>
      <c r="I21" s="86" t="n"/>
      <c r="J21" s="86" t="n"/>
      <c r="K21" s="86" t="n"/>
      <c r="L21" s="86" t="n"/>
      <c r="M21" s="86" t="n"/>
      <c r="N21" s="86" t="n"/>
      <c r="O21" s="86" t="n"/>
      <c r="P21" s="86" t="n"/>
      <c r="Q21" s="86" t="n"/>
      <c r="R21" s="86" t="n"/>
      <c r="S21" s="87" t="n"/>
      <c r="T21" s="54" t="n"/>
      <c r="U21" s="54" t="n"/>
    </row>
    <row r="22" ht="52" customHeight="1" s="197">
      <c r="A22" s="88" t="inlineStr">
        <is>
          <t>产品品类</t>
        </is>
      </c>
      <c r="B22" s="88" t="inlineStr">
        <is>
          <t>目标市场</t>
        </is>
      </c>
      <c r="C22" s="88" t="inlineStr">
        <is>
          <t>贸易条款</t>
        </is>
      </c>
      <c r="D22" s="88" t="inlineStr">
        <is>
          <t>报价币种</t>
        </is>
      </c>
      <c r="E22" s="88" t="inlineStr">
        <is>
          <t>柜型</t>
        </is>
      </c>
      <c r="F22" s="88" t="inlineStr">
        <is>
          <t>认证</t>
        </is>
      </c>
      <c r="G22" s="88" t="inlineStr">
        <is>
          <t>冲水方式</t>
        </is>
      </c>
      <c r="H22" s="88" t="inlineStr">
        <is>
          <t>排污方式</t>
        </is>
      </c>
      <c r="I22" s="88" t="inlineStr">
        <is>
          <t>坑距/墙排</t>
        </is>
      </c>
      <c r="J22" s="88" t="inlineStr">
        <is>
          <t>冲水量</t>
        </is>
      </c>
      <c r="K22" s="88" t="inlineStr">
        <is>
          <t>是否</t>
        </is>
      </c>
      <c r="L22" s="88" t="inlineStr">
        <is>
          <t>盖板档次</t>
        </is>
      </c>
      <c r="M22" s="88" t="inlineStr">
        <is>
          <t>铰链要求</t>
        </is>
      </c>
      <c r="N22" s="88" t="inlineStr">
        <is>
          <t>台盆安装方式</t>
        </is>
      </c>
      <c r="O22" s="88" t="inlineStr">
        <is>
          <t>龙头孔</t>
        </is>
      </c>
      <c r="P22" s="88" t="inlineStr">
        <is>
          <t>溢水孔</t>
        </is>
      </c>
      <c r="Q22" s="88" t="inlineStr">
        <is>
          <t>每箱件数</t>
        </is>
      </c>
      <c r="R22" s="88" t="inlineStr">
        <is>
          <t>常用装运港</t>
        </is>
      </c>
      <c r="S22" s="88" t="inlineStr">
        <is>
          <t>常用目的港</t>
        </is>
      </c>
      <c r="T22" s="5" t="inlineStr">
        <is>
          <t>盖板每箱套数</t>
        </is>
      </c>
      <c r="U22" s="5" t="inlineStr">
        <is>
          <t>盖板箱外扩mm</t>
        </is>
      </c>
    </row>
    <row r="23" ht="25" customHeight="1" s="197">
      <c r="A23" s="11" t="inlineStr">
        <is>
          <t>分体马桶</t>
        </is>
      </c>
      <c r="B23" s="11" t="inlineStr">
        <is>
          <t>美国</t>
        </is>
      </c>
      <c r="C23" s="11" t="inlineStr">
        <is>
          <t>EXW</t>
        </is>
      </c>
      <c r="D23" s="11" t="inlineStr">
        <is>
          <t>USD</t>
        </is>
      </c>
      <c r="E23" s="11" t="inlineStr">
        <is>
          <t>20GP</t>
        </is>
      </c>
      <c r="F23" s="11" t="inlineStr">
        <is>
          <t>无</t>
        </is>
      </c>
      <c r="G23" s="11" t="inlineStr">
        <is>
          <t>虹吸</t>
        </is>
      </c>
      <c r="H23" s="11" t="inlineStr">
        <is>
          <t>S-trap</t>
        </is>
      </c>
      <c r="I23" s="11" t="inlineStr">
        <is>
          <t>180mm</t>
        </is>
      </c>
      <c r="J23" s="11" t="inlineStr">
        <is>
          <t>3/4.5L</t>
        </is>
      </c>
      <c r="K23" s="11" t="inlineStr">
        <is>
          <t>是</t>
        </is>
      </c>
      <c r="L23" s="11" t="inlineStr">
        <is>
          <t>PP 普通</t>
        </is>
      </c>
      <c r="M23" s="11" t="inlineStr">
        <is>
          <t>常规</t>
        </is>
      </c>
      <c r="N23" s="11" t="inlineStr">
        <is>
          <t>台上</t>
        </is>
      </c>
      <c r="O23" s="11" t="inlineStr">
        <is>
          <t>无孔</t>
        </is>
      </c>
      <c r="P23" s="11" t="inlineStr">
        <is>
          <t>有</t>
        </is>
      </c>
      <c r="Q23" s="11" t="n">
        <v>1</v>
      </c>
      <c r="R23" s="11" t="inlineStr">
        <is>
          <t>Xiamen</t>
        </is>
      </c>
      <c r="S23" s="11" t="inlineStr">
        <is>
          <t>Los Angeles</t>
        </is>
      </c>
      <c r="T23" s="7" t="n">
        <v>5</v>
      </c>
      <c r="U23" s="7" t="n">
        <v>10</v>
      </c>
    </row>
    <row r="24" ht="50" customHeight="1" s="197">
      <c r="A24" s="11" t="inlineStr">
        <is>
          <t>连体马桶</t>
        </is>
      </c>
      <c r="B24" s="11" t="inlineStr">
        <is>
          <t>欧洲</t>
        </is>
      </c>
      <c r="C24" s="11" t="inlineStr">
        <is>
          <t>FOB</t>
        </is>
      </c>
      <c r="D24" s="11" t="inlineStr">
        <is>
          <t>RMB</t>
        </is>
      </c>
      <c r="E24" s="11" t="inlineStr">
        <is>
          <t>40GP</t>
        </is>
      </c>
      <c r="F24" s="11" t="inlineStr">
        <is>
          <t>UPC</t>
        </is>
      </c>
      <c r="G24" s="11" t="inlineStr">
        <is>
          <t>冲落</t>
        </is>
      </c>
      <c r="H24" s="11" t="inlineStr">
        <is>
          <t>P-trap</t>
        </is>
      </c>
      <c r="I24" s="11" t="inlineStr">
        <is>
          <t>250mm</t>
        </is>
      </c>
      <c r="J24" s="11" t="inlineStr">
        <is>
          <t>3/6L</t>
        </is>
      </c>
      <c r="K24" s="11" t="inlineStr">
        <is>
          <t>否</t>
        </is>
      </c>
      <c r="L24" s="11" t="inlineStr">
        <is>
          <t>PP 缓降</t>
        </is>
      </c>
      <c r="M24" s="11" t="inlineStr">
        <is>
          <t>常规缓降</t>
        </is>
      </c>
      <c r="N24" s="11" t="inlineStr">
        <is>
          <t>台下</t>
        </is>
      </c>
      <c r="O24" s="11" t="inlineStr">
        <is>
          <t>单孔</t>
        </is>
      </c>
      <c r="P24" s="11" t="inlineStr">
        <is>
          <t>无</t>
        </is>
      </c>
      <c r="Q24" s="11" t="n">
        <v>2</v>
      </c>
      <c r="R24" s="11" t="inlineStr">
        <is>
          <t>Ningbo</t>
        </is>
      </c>
      <c r="S24" s="11" t="inlineStr">
        <is>
          <t>Long Beach</t>
        </is>
      </c>
      <c r="T24" s="7" t="n">
        <v>10</v>
      </c>
      <c r="U24" s="7" t="n">
        <v>15</v>
      </c>
    </row>
    <row r="25" ht="50" customHeight="1" s="197">
      <c r="A25" s="11" t="inlineStr">
        <is>
          <t>挂墙马桶</t>
        </is>
      </c>
      <c r="B25" s="11" t="inlineStr">
        <is>
          <t>中东</t>
        </is>
      </c>
      <c r="C25" s="11" t="inlineStr">
        <is>
          <t>CFR</t>
        </is>
      </c>
      <c r="D25" s="11" t="n"/>
      <c r="E25" s="11" t="inlineStr">
        <is>
          <t>40HQ</t>
        </is>
      </c>
      <c r="F25" s="11" t="inlineStr">
        <is>
          <t>cUPC</t>
        </is>
      </c>
      <c r="G25" s="11" t="inlineStr">
        <is>
          <t>喷射虹吸</t>
        </is>
      </c>
      <c r="H25" s="11" t="inlineStr">
        <is>
          <t>墙排</t>
        </is>
      </c>
      <c r="I25" s="11" t="inlineStr">
        <is>
          <t>300mm</t>
        </is>
      </c>
      <c r="J25" s="11" t="inlineStr">
        <is>
          <t>4.8L</t>
        </is>
      </c>
      <c r="K25" s="11" t="n"/>
      <c r="L25" s="11" t="inlineStr">
        <is>
          <t>UF 缓降</t>
        </is>
      </c>
      <c r="M25" s="11" t="inlineStr">
        <is>
          <t>快拆缓降</t>
        </is>
      </c>
      <c r="N25" s="11" t="inlineStr">
        <is>
          <t>立柱</t>
        </is>
      </c>
      <c r="O25" s="11" t="inlineStr">
        <is>
          <t>三孔</t>
        </is>
      </c>
      <c r="P25" s="11" t="n"/>
      <c r="Q25" s="11" t="n">
        <v>4</v>
      </c>
      <c r="R25" s="11" t="inlineStr">
        <is>
          <t>Shanghai</t>
        </is>
      </c>
      <c r="S25" s="11" t="inlineStr">
        <is>
          <t>New York</t>
        </is>
      </c>
      <c r="T25" s="7" t="n">
        <v>20</v>
      </c>
      <c r="U25" s="7" t="n">
        <v>20</v>
      </c>
    </row>
    <row r="26" ht="62.5" customHeight="1" s="197">
      <c r="A26" s="11" t="inlineStr">
        <is>
          <t>台上盆</t>
        </is>
      </c>
      <c r="B26" s="11" t="inlineStr">
        <is>
          <t>亚洲</t>
        </is>
      </c>
      <c r="C26" s="11" t="inlineStr">
        <is>
          <t>CIF</t>
        </is>
      </c>
      <c r="D26" s="11" t="n"/>
      <c r="E26" s="11" t="n"/>
      <c r="F26" s="11" t="inlineStr">
        <is>
          <t>WaterSense</t>
        </is>
      </c>
      <c r="G26" s="11" t="inlineStr">
        <is>
          <t>旋涡虹吸</t>
        </is>
      </c>
      <c r="H26" s="11" t="n"/>
      <c r="I26" s="11" t="inlineStr">
        <is>
          <t>305mm</t>
        </is>
      </c>
      <c r="J26" s="11" t="inlineStr">
        <is>
          <t>6L</t>
        </is>
      </c>
      <c r="K26" s="11" t="n"/>
      <c r="L26" s="11" t="inlineStr">
        <is>
          <t>UF 快拆</t>
        </is>
      </c>
      <c r="M26" s="11" t="inlineStr">
        <is>
          <t>不锈钢铰链</t>
        </is>
      </c>
      <c r="N26" s="11" t="inlineStr">
        <is>
          <t>半柱</t>
        </is>
      </c>
      <c r="O26" s="11" t="inlineStr">
        <is>
          <t>可定制</t>
        </is>
      </c>
      <c r="P26" s="11" t="n"/>
      <c r="Q26" s="11" t="n">
        <v>6</v>
      </c>
      <c r="R26" s="11" t="inlineStr">
        <is>
          <t>Shenzhen</t>
        </is>
      </c>
      <c r="S26" s="11" t="inlineStr">
        <is>
          <t>Hamburg</t>
        </is>
      </c>
      <c r="T26" s="7" t="n">
        <v>30</v>
      </c>
      <c r="U26" s="7" t="n"/>
    </row>
    <row r="27" ht="62.5" customHeight="1" s="197">
      <c r="A27" s="11" t="inlineStr">
        <is>
          <t>台下盆</t>
        </is>
      </c>
      <c r="B27" s="11" t="inlineStr">
        <is>
          <t>其他</t>
        </is>
      </c>
      <c r="C27" s="11" t="n"/>
      <c r="D27" s="11" t="n"/>
      <c r="E27" s="11" t="n"/>
      <c r="F27" s="11" t="inlineStr">
        <is>
          <t>CE</t>
        </is>
      </c>
      <c r="G27" s="11" t="inlineStr">
        <is>
          <t>双冲</t>
        </is>
      </c>
      <c r="H27" s="11" t="n"/>
      <c r="I27" s="11" t="inlineStr">
        <is>
          <t>400mm</t>
        </is>
      </c>
      <c r="J27" s="11" t="inlineStr">
        <is>
          <t>1.28GPF</t>
        </is>
      </c>
      <c r="K27" s="11" t="n"/>
      <c r="L27" s="11" t="inlineStr">
        <is>
          <t>薄盖快拆</t>
        </is>
      </c>
      <c r="M27" s="11" t="inlineStr">
        <is>
          <t>锌合金铰链</t>
        </is>
      </c>
      <c r="N27" s="11" t="inlineStr">
        <is>
          <t>挂墙</t>
        </is>
      </c>
      <c r="O27" s="11" t="n"/>
      <c r="P27" s="11" t="n"/>
      <c r="Q27" s="11" t="n"/>
      <c r="R27" s="11" t="inlineStr">
        <is>
          <t>Qingdao</t>
        </is>
      </c>
      <c r="S27" s="11" t="inlineStr">
        <is>
          <t>Rotterdam</t>
        </is>
      </c>
      <c r="T27" s="7" t="n">
        <v>50</v>
      </c>
      <c r="U27" s="7" t="n"/>
    </row>
    <row r="28" ht="26" customHeight="1" s="197">
      <c r="A28" s="11" t="inlineStr">
        <is>
          <t>立柱盆/半柱盆</t>
        </is>
      </c>
      <c r="B28" s="11" t="inlineStr">
        <is>
          <t>Nigeria</t>
        </is>
      </c>
      <c r="C28" s="11" t="n"/>
      <c r="D28" s="11" t="n"/>
      <c r="E28" s="11" t="n"/>
      <c r="F28" s="11" t="inlineStr">
        <is>
          <t>UKCA</t>
        </is>
      </c>
      <c r="G28" s="11" t="n"/>
      <c r="H28" s="11" t="n"/>
      <c r="I28" s="11" t="inlineStr">
        <is>
          <t>墙排</t>
        </is>
      </c>
      <c r="J28" s="11" t="inlineStr">
        <is>
          <t>1.6GPF</t>
        </is>
      </c>
      <c r="K28" s="11" t="n"/>
      <c r="L28" s="11" t="inlineStr">
        <is>
          <t>智能盖板</t>
        </is>
      </c>
      <c r="M28" s="11" t="n"/>
      <c r="N28" s="11" t="n"/>
      <c r="O28" s="11" t="n"/>
      <c r="P28" s="11" t="n"/>
      <c r="Q28" s="11" t="n"/>
      <c r="R28" s="11" t="inlineStr">
        <is>
          <t>Guangzhou</t>
        </is>
      </c>
      <c r="S28" s="11" t="inlineStr">
        <is>
          <t>Jebel Ali</t>
        </is>
      </c>
      <c r="T28" s="54" t="n"/>
      <c r="U28" s="54" t="n"/>
    </row>
    <row r="29">
      <c r="A29" s="11" t="n"/>
      <c r="B29" s="11" t="n"/>
      <c r="C29" s="11" t="n"/>
      <c r="D29" s="11" t="n"/>
      <c r="E29" s="11" t="n"/>
      <c r="F29" s="11" t="inlineStr">
        <is>
          <t>WRAS</t>
        </is>
      </c>
      <c r="G29" s="11" t="n"/>
      <c r="H29" s="11" t="n"/>
      <c r="I29" s="11" t="n"/>
      <c r="J29" s="11" t="n"/>
      <c r="K29" s="11" t="n"/>
      <c r="L29" s="11" t="n"/>
      <c r="M29" s="11" t="n"/>
      <c r="N29" s="11" t="n"/>
      <c r="O29" s="11" t="n"/>
      <c r="P29" s="11" t="n"/>
      <c r="Q29" s="11" t="n"/>
      <c r="R29" s="46" t="inlineStr">
        <is>
          <t>Nigeria</t>
        </is>
      </c>
      <c r="S29" s="11" t="inlineStr">
        <is>
          <t>Riyadh</t>
        </is>
      </c>
      <c r="T29" s="54" t="n"/>
      <c r="U29" s="54" t="n"/>
    </row>
    <row r="30" ht="26" customHeight="1" s="197">
      <c r="A30" s="11" t="n"/>
      <c r="B30" s="11" t="n"/>
      <c r="C30" s="11" t="n"/>
      <c r="D30" s="11" t="n"/>
      <c r="E30" s="11" t="n"/>
      <c r="F30" s="11" t="inlineStr">
        <is>
          <t>SASO</t>
        </is>
      </c>
      <c r="G30" s="11" t="n"/>
      <c r="H30" s="11" t="n"/>
      <c r="I30" s="11" t="n"/>
      <c r="J30" s="11" t="n"/>
      <c r="K30" s="11" t="n"/>
      <c r="L30" s="11" t="n"/>
      <c r="M30" s="11" t="n"/>
      <c r="N30" s="11" t="n"/>
      <c r="O30" s="11" t="n"/>
      <c r="P30" s="11" t="n"/>
      <c r="Q30" s="11" t="n"/>
      <c r="R30" s="46" t="n"/>
      <c r="S30" s="11" t="inlineStr">
        <is>
          <t>Singapore</t>
        </is>
      </c>
      <c r="T30" s="54" t="n"/>
      <c r="U30" s="54" t="n"/>
    </row>
    <row r="31" ht="25" customHeight="1" s="197">
      <c r="A31" s="11" t="n"/>
      <c r="B31" s="11" t="n"/>
      <c r="C31" s="11" t="n"/>
      <c r="D31" s="11" t="n"/>
      <c r="E31" s="11" t="n"/>
      <c r="F31" s="11" t="inlineStr">
        <is>
          <t>其他</t>
        </is>
      </c>
      <c r="G31" s="11" t="n"/>
      <c r="H31" s="11" t="n"/>
      <c r="I31" s="11" t="n"/>
      <c r="J31" s="11" t="n"/>
      <c r="K31" s="11" t="n"/>
      <c r="L31" s="11" t="n"/>
      <c r="M31" s="11" t="n"/>
      <c r="N31" s="11" t="n"/>
      <c r="O31" s="11" t="n"/>
      <c r="P31" s="11" t="n"/>
      <c r="Q31" s="11" t="n"/>
      <c r="R31" s="46" t="n"/>
      <c r="S31" s="11" t="inlineStr">
        <is>
          <t>Lagos-Apapa</t>
        </is>
      </c>
      <c r="T31" s="54" t="n"/>
      <c r="U31" s="54" t="n"/>
    </row>
    <row r="32" ht="28" customHeight="1" s="197">
      <c r="A32" s="54" t="n"/>
      <c r="B32" s="54" t="n"/>
      <c r="C32" s="54" t="n"/>
      <c r="D32" s="54" t="n"/>
      <c r="E32" s="54" t="n"/>
      <c r="F32" s="54" t="n"/>
      <c r="G32" s="54" t="n"/>
      <c r="H32" s="54" t="n"/>
      <c r="I32" s="54" t="n"/>
      <c r="J32" s="54" t="n"/>
      <c r="K32" s="54" t="n"/>
      <c r="L32" s="54" t="n"/>
      <c r="M32" s="54" t="n"/>
      <c r="N32" s="54" t="n"/>
      <c r="O32" s="54" t="n"/>
      <c r="P32" s="54" t="n"/>
      <c r="Q32" s="54" t="n"/>
      <c r="R32" s="89" t="n"/>
      <c r="S32" s="54" t="inlineStr">
        <is>
          <t>Tin Can Island</t>
        </is>
      </c>
      <c r="T32" s="54" t="n"/>
      <c r="U32" s="54" t="n"/>
    </row>
    <row r="33" ht="28" customHeight="1" s="197">
      <c r="A33" s="54" t="n"/>
      <c r="B33" s="54" t="n"/>
      <c r="C33" s="54" t="n"/>
      <c r="D33" s="54" t="n"/>
      <c r="E33" s="54" t="n"/>
      <c r="F33" s="54" t="n"/>
      <c r="G33" s="54" t="n"/>
      <c r="H33" s="54" t="n"/>
      <c r="I33" s="54" t="n"/>
      <c r="J33" s="54" t="n"/>
      <c r="K33" s="54" t="n"/>
      <c r="L33" s="54" t="n"/>
      <c r="M33" s="54" t="n"/>
      <c r="N33" s="90" t="inlineStr">
        <is>
          <t>盖板档次</t>
        </is>
      </c>
      <c r="O33" s="90" t="inlineStr">
        <is>
          <t>FOB进仓价 RMB</t>
        </is>
      </c>
      <c r="P33" s="90" t="inlineStr">
        <is>
          <t>默认型号</t>
        </is>
      </c>
      <c r="Q33" s="90" t="inlineStr">
        <is>
          <t>备注</t>
        </is>
      </c>
      <c r="R33" s="89" t="n"/>
      <c r="S33" s="54" t="inlineStr">
        <is>
          <t>Onne</t>
        </is>
      </c>
      <c r="T33" s="54" t="n"/>
      <c r="U33" s="54" t="n"/>
    </row>
    <row r="34" ht="28" customHeight="1" s="197">
      <c r="A34" s="54" t="n"/>
      <c r="B34" s="54" t="n"/>
      <c r="C34" s="54" t="n"/>
      <c r="D34" s="54" t="n"/>
      <c r="E34" s="54" t="n"/>
      <c r="F34" s="54" t="n"/>
      <c r="G34" s="54" t="n"/>
      <c r="H34" s="54" t="n"/>
      <c r="I34" s="54" t="n"/>
      <c r="J34" s="54" t="n"/>
      <c r="K34" s="54" t="n"/>
      <c r="L34" s="54" t="n"/>
      <c r="M34" s="54" t="n"/>
      <c r="N34" s="51" t="inlineStr">
        <is>
          <t>PP 普通</t>
        </is>
      </c>
      <c r="O34" s="51" t="n">
        <v>38</v>
      </c>
      <c r="P34" s="51" t="inlineStr">
        <is>
          <t>SC-PP-STD-001</t>
        </is>
      </c>
      <c r="Q34" s="51" t="inlineStr">
        <is>
          <t>经济款，非缓降</t>
        </is>
      </c>
      <c r="R34" s="89" t="n"/>
      <c r="S34" s="54" t="inlineStr">
        <is>
          <t>Port Harcourt</t>
        </is>
      </c>
      <c r="T34" s="54" t="n"/>
      <c r="U34" s="54" t="n"/>
    </row>
    <row r="35">
      <c r="A35" s="54" t="n"/>
      <c r="B35" s="54" t="n"/>
      <c r="C35" s="54" t="n"/>
      <c r="D35" s="54" t="n"/>
      <c r="E35" s="54" t="n"/>
      <c r="F35" s="54" t="n"/>
      <c r="G35" s="54" t="n"/>
      <c r="H35" s="54" t="n"/>
      <c r="I35" s="54" t="n"/>
      <c r="J35" s="54" t="n"/>
      <c r="K35" s="54" t="n"/>
      <c r="L35" s="54" t="n"/>
      <c r="M35" s="54" t="n"/>
      <c r="N35" s="51" t="inlineStr">
        <is>
          <t>PP 缓降</t>
        </is>
      </c>
      <c r="O35" s="51" t="n">
        <v>48</v>
      </c>
      <c r="P35" s="51" t="inlineStr">
        <is>
          <t>SC-PP-001</t>
        </is>
      </c>
      <c r="Q35" s="51" t="inlineStr">
        <is>
          <t>常规出口</t>
        </is>
      </c>
      <c r="R35" s="54" t="n"/>
      <c r="S35" s="54" t="inlineStr">
        <is>
          <t>Calabar</t>
        </is>
      </c>
      <c r="T35" s="54" t="n"/>
      <c r="U35" s="54" t="n"/>
    </row>
    <row r="36">
      <c r="A36" s="54" t="n"/>
      <c r="B36" s="54" t="n"/>
      <c r="C36" s="54" t="n"/>
      <c r="D36" s="54" t="n"/>
      <c r="E36" s="54" t="n"/>
      <c r="F36" s="54" t="n"/>
      <c r="G36" s="54" t="n"/>
      <c r="H36" s="54" t="n"/>
      <c r="I36" s="54" t="n"/>
      <c r="J36" s="54" t="n"/>
      <c r="K36" s="54" t="n"/>
      <c r="L36" s="54" t="n"/>
      <c r="M36" s="54" t="n"/>
      <c r="N36" s="51" t="inlineStr">
        <is>
          <t>UF 缓降</t>
        </is>
      </c>
      <c r="O36" s="51" t="n">
        <v>78</v>
      </c>
      <c r="P36" s="51" t="inlineStr">
        <is>
          <t>SC-UF-001</t>
        </is>
      </c>
      <c r="Q36" s="51" t="inlineStr">
        <is>
          <t>中高端</t>
        </is>
      </c>
      <c r="R36" s="54" t="n"/>
      <c r="S36" s="54" t="inlineStr">
        <is>
          <t>Lekki</t>
        </is>
      </c>
      <c r="T36" s="54" t="n"/>
      <c r="U36" s="54" t="n"/>
    </row>
    <row r="37">
      <c r="A37" s="54" t="n"/>
      <c r="B37" s="54" t="n"/>
      <c r="C37" s="54" t="n"/>
      <c r="D37" s="54" t="n"/>
      <c r="E37" s="54" t="n"/>
      <c r="F37" s="54" t="n"/>
      <c r="G37" s="54" t="n"/>
      <c r="H37" s="54" t="n"/>
      <c r="I37" s="54" t="n"/>
      <c r="J37" s="54" t="n"/>
      <c r="K37" s="54" t="n"/>
      <c r="L37" s="54" t="n"/>
      <c r="M37" s="54" t="n"/>
      <c r="N37" s="51" t="inlineStr">
        <is>
          <t>UF 快拆</t>
        </is>
      </c>
      <c r="O37" s="51" t="n">
        <v>86</v>
      </c>
      <c r="P37" s="51" t="inlineStr">
        <is>
          <t>SC-UF-QD-001</t>
        </is>
      </c>
      <c r="Q37" s="51" t="inlineStr">
        <is>
          <t>快拆升级</t>
        </is>
      </c>
      <c r="R37" s="54" t="n"/>
      <c r="S37" s="54" t="n"/>
      <c r="T37" s="54" t="n"/>
      <c r="U37" s="54" t="n"/>
    </row>
    <row r="38">
      <c r="A38" s="54" t="n"/>
      <c r="B38" s="54" t="n"/>
      <c r="C38" s="54" t="n"/>
      <c r="D38" s="54" t="n"/>
      <c r="E38" s="54" t="n"/>
      <c r="F38" s="54" t="n"/>
      <c r="G38" s="54" t="n"/>
      <c r="H38" s="54" t="n"/>
      <c r="I38" s="54" t="n"/>
      <c r="J38" s="54" t="n"/>
      <c r="K38" s="54" t="n"/>
      <c r="L38" s="54" t="n"/>
      <c r="M38" s="54" t="n"/>
      <c r="N38" s="51" t="inlineStr">
        <is>
          <t>薄盖快拆</t>
        </is>
      </c>
      <c r="O38" s="51" t="n">
        <v>92</v>
      </c>
      <c r="P38" s="51" t="inlineStr">
        <is>
          <t>SC-SLIM-001</t>
        </is>
      </c>
      <c r="Q38" s="51" t="inlineStr">
        <is>
          <t>薄盖/快拆</t>
        </is>
      </c>
      <c r="R38" s="54" t="n"/>
      <c r="S38" s="54" t="n"/>
      <c r="T38" s="54" t="n"/>
      <c r="U38" s="54" t="n"/>
    </row>
    <row r="39" ht="28" customHeight="1" s="197">
      <c r="A39" s="54" t="n"/>
      <c r="B39" s="54" t="n"/>
      <c r="C39" s="54" t="n"/>
      <c r="D39" s="54" t="n"/>
      <c r="E39" s="54" t="n"/>
      <c r="F39" s="54" t="n"/>
      <c r="G39" s="54" t="n"/>
      <c r="H39" s="54" t="n"/>
      <c r="I39" s="54" t="n"/>
      <c r="J39" s="54" t="n"/>
      <c r="K39" s="54" t="n"/>
      <c r="L39" s="54" t="n"/>
      <c r="M39" s="54" t="n"/>
      <c r="N39" s="51" t="inlineStr">
        <is>
          <t>智能盖板</t>
        </is>
      </c>
      <c r="O39" s="51" t="n">
        <v>380</v>
      </c>
      <c r="P39" s="51" t="inlineStr">
        <is>
          <t>SC-SMART-001</t>
        </is>
      </c>
      <c r="Q39" s="51" t="inlineStr">
        <is>
          <t>功能差异大，接单前需复核</t>
        </is>
      </c>
      <c r="R39" s="54" t="n"/>
      <c r="S39" s="54" t="n"/>
      <c r="T39" s="54" t="n"/>
      <c r="U39" s="54" t="n"/>
    </row>
    <row r="40">
      <c r="A40" s="54" t="n"/>
      <c r="B40" s="54" t="n"/>
      <c r="C40" s="54" t="n"/>
      <c r="D40" s="54" t="n"/>
      <c r="E40" s="54" t="n"/>
      <c r="F40" s="54" t="n"/>
      <c r="G40" s="54" t="n"/>
      <c r="H40" s="54" t="n"/>
      <c r="I40" s="54" t="n"/>
      <c r="J40" s="54" t="n"/>
      <c r="K40" s="54" t="n"/>
      <c r="L40" s="54" t="n"/>
      <c r="M40" s="54" t="n"/>
      <c r="N40" s="54" t="n"/>
      <c r="O40" s="54" t="n"/>
      <c r="P40" s="54" t="n"/>
      <c r="Q40" s="54" t="n"/>
      <c r="R40" s="54" t="n"/>
      <c r="S40" s="54" t="n"/>
      <c r="T40" s="54" t="n"/>
      <c r="U40" s="54" t="n"/>
    </row>
    <row r="41">
      <c r="A41" s="54" t="n"/>
      <c r="B41" s="54" t="n"/>
      <c r="C41" s="54" t="n"/>
      <c r="D41" s="54" t="n"/>
      <c r="E41" s="54" t="n"/>
      <c r="F41" s="54" t="n"/>
      <c r="G41" s="54" t="n"/>
      <c r="H41" s="54" t="n"/>
      <c r="I41" s="54" t="n"/>
      <c r="J41" s="54" t="n"/>
      <c r="K41" s="54" t="n"/>
      <c r="L41" s="54" t="n"/>
      <c r="M41" s="54" t="n"/>
      <c r="N41" s="54" t="n"/>
      <c r="O41" s="54" t="n"/>
      <c r="P41" s="54" t="n"/>
      <c r="Q41" s="54" t="n"/>
      <c r="R41" s="54" t="n"/>
      <c r="S41" s="54" t="n"/>
      <c r="T41" s="54" t="n"/>
      <c r="U41" s="54" t="n"/>
    </row>
    <row r="42" ht="28" customHeight="1" s="197">
      <c r="A42" s="54" t="n"/>
      <c r="B42" s="54" t="n"/>
      <c r="C42" s="54" t="n"/>
      <c r="D42" s="54" t="n"/>
      <c r="E42" s="54" t="n"/>
      <c r="F42" s="54" t="n"/>
      <c r="G42" s="54" t="n"/>
      <c r="H42" s="54" t="n"/>
      <c r="I42" s="54" t="n"/>
      <c r="J42" s="54" t="n"/>
      <c r="K42" s="54" t="n"/>
      <c r="L42" s="54" t="n"/>
      <c r="M42" s="54" t="n"/>
      <c r="N42" s="90" t="inlineStr">
        <is>
          <t>铰链要求</t>
        </is>
      </c>
      <c r="O42" s="90" t="inlineStr">
        <is>
          <t>FOB进仓加价 RMB</t>
        </is>
      </c>
      <c r="P42" s="90" t="inlineStr">
        <is>
          <t>默认说明</t>
        </is>
      </c>
      <c r="Q42" s="90" t="inlineStr">
        <is>
          <t>备注</t>
        </is>
      </c>
      <c r="R42" s="54" t="n"/>
      <c r="S42" s="54" t="n"/>
      <c r="T42" s="54" t="n"/>
      <c r="U42" s="54" t="n"/>
    </row>
    <row r="43">
      <c r="A43" s="54" t="n"/>
      <c r="B43" s="54" t="n"/>
      <c r="C43" s="54" t="n"/>
      <c r="D43" s="54" t="n"/>
      <c r="E43" s="54" t="n"/>
      <c r="F43" s="54" t="n"/>
      <c r="G43" s="54" t="n"/>
      <c r="H43" s="54" t="n"/>
      <c r="I43" s="54" t="n"/>
      <c r="J43" s="54" t="n"/>
      <c r="K43" s="54" t="n"/>
      <c r="L43" s="54" t="n"/>
      <c r="M43" s="54" t="n"/>
      <c r="N43" s="51" t="inlineStr">
        <is>
          <t>常规</t>
        </is>
      </c>
      <c r="O43" s="51" t="n">
        <v>0</v>
      </c>
      <c r="P43" s="51" t="inlineStr">
        <is>
          <t>标准配置</t>
        </is>
      </c>
      <c r="Q43" s="54" t="n"/>
      <c r="R43" s="54" t="n"/>
      <c r="S43" s="54" t="n"/>
      <c r="T43" s="54" t="n"/>
      <c r="U43" s="54" t="n"/>
    </row>
    <row r="44">
      <c r="A44" s="54" t="n"/>
      <c r="B44" s="54" t="n"/>
      <c r="C44" s="54" t="n"/>
      <c r="D44" s="54" t="n"/>
      <c r="E44" s="54" t="n"/>
      <c r="F44" s="54" t="n"/>
      <c r="G44" s="54" t="n"/>
      <c r="H44" s="54" t="n"/>
      <c r="I44" s="54" t="n"/>
      <c r="J44" s="54" t="n"/>
      <c r="K44" s="54" t="n"/>
      <c r="L44" s="54" t="n"/>
      <c r="M44" s="54" t="n"/>
      <c r="N44" s="51" t="inlineStr">
        <is>
          <t>常规缓降</t>
        </is>
      </c>
      <c r="O44" s="51" t="n">
        <v>0</v>
      </c>
      <c r="P44" s="51" t="inlineStr">
        <is>
          <t>标准缓降</t>
        </is>
      </c>
      <c r="Q44" s="54" t="n"/>
      <c r="R44" s="54" t="n"/>
      <c r="S44" s="54" t="n"/>
      <c r="T44" s="54" t="n"/>
      <c r="U44" s="54" t="n"/>
    </row>
    <row r="45">
      <c r="A45" s="54" t="n"/>
      <c r="B45" s="54" t="n"/>
      <c r="C45" s="54" t="n"/>
      <c r="D45" s="54" t="n"/>
      <c r="E45" s="54" t="n"/>
      <c r="F45" s="54" t="n"/>
      <c r="G45" s="54" t="n"/>
      <c r="H45" s="54" t="n"/>
      <c r="I45" s="54" t="n"/>
      <c r="J45" s="54" t="n"/>
      <c r="K45" s="54" t="n"/>
      <c r="L45" s="54" t="n"/>
      <c r="M45" s="54" t="n"/>
      <c r="N45" s="51" t="inlineStr">
        <is>
          <t>快拆缓降</t>
        </is>
      </c>
      <c r="O45" s="51" t="n">
        <v>8</v>
      </c>
      <c r="P45" s="51" t="inlineStr">
        <is>
          <t>快拆升级</t>
        </is>
      </c>
      <c r="Q45" s="54" t="n"/>
      <c r="R45" s="54" t="n"/>
      <c r="S45" s="54" t="n"/>
      <c r="T45" s="54" t="n"/>
      <c r="U45" s="54" t="n"/>
    </row>
    <row r="46" ht="28" customHeight="1" s="197">
      <c r="A46" s="54" t="n"/>
      <c r="B46" s="54" t="n"/>
      <c r="C46" s="54" t="n"/>
      <c r="D46" s="54" t="n"/>
      <c r="E46" s="54" t="n"/>
      <c r="F46" s="54" t="n"/>
      <c r="G46" s="54" t="n"/>
      <c r="H46" s="54" t="n"/>
      <c r="I46" s="54" t="n"/>
      <c r="J46" s="54" t="n"/>
      <c r="K46" s="54" t="n"/>
      <c r="L46" s="54" t="n"/>
      <c r="M46" s="54" t="n"/>
      <c r="N46" s="51" t="inlineStr">
        <is>
          <t>不锈钢铰链</t>
        </is>
      </c>
      <c r="O46" s="51" t="n">
        <v>12</v>
      </c>
      <c r="P46" s="51" t="inlineStr">
        <is>
          <t>不锈钢升级</t>
        </is>
      </c>
      <c r="Q46" s="54" t="n"/>
      <c r="R46" s="54" t="n"/>
      <c r="S46" s="54" t="n"/>
      <c r="T46" s="54" t="n"/>
      <c r="U46" s="54" t="n"/>
    </row>
    <row r="47" ht="28" customHeight="1" s="197">
      <c r="A47" s="54" t="n"/>
      <c r="B47" s="54" t="n"/>
      <c r="C47" s="54" t="n"/>
      <c r="D47" s="54" t="n"/>
      <c r="E47" s="54" t="n"/>
      <c r="F47" s="54" t="n"/>
      <c r="G47" s="54" t="n"/>
      <c r="H47" s="54" t="n"/>
      <c r="I47" s="54" t="n"/>
      <c r="J47" s="54" t="n"/>
      <c r="K47" s="54" t="n"/>
      <c r="L47" s="54" t="n"/>
      <c r="M47" s="54" t="n"/>
      <c r="N47" s="51" t="inlineStr">
        <is>
          <t>锌合金铰链</t>
        </is>
      </c>
      <c r="O47" s="51" t="n">
        <v>15</v>
      </c>
      <c r="P47" s="51" t="inlineStr">
        <is>
          <t>锌合金升级</t>
        </is>
      </c>
      <c r="Q47" s="54" t="n"/>
      <c r="R47" s="54" t="n"/>
      <c r="S47" s="54" t="n"/>
      <c r="T47" s="54" t="n"/>
      <c r="U47" s="54" t="n"/>
    </row>
    <row r="48">
      <c r="A48" s="54" t="n"/>
      <c r="B48" s="54" t="n"/>
      <c r="C48" s="54" t="n"/>
      <c r="D48" s="54" t="n"/>
      <c r="E48" s="54" t="n"/>
      <c r="F48" s="54" t="n"/>
      <c r="G48" s="54" t="n"/>
      <c r="H48" s="54" t="n"/>
      <c r="I48" s="54" t="n"/>
      <c r="J48" s="54" t="n"/>
      <c r="K48" s="54" t="n"/>
      <c r="L48" s="54" t="n"/>
      <c r="M48" s="54" t="n"/>
      <c r="N48" s="51" t="inlineStr">
        <is>
          <t>金属铰链</t>
        </is>
      </c>
      <c r="O48" s="51" t="n">
        <v>18</v>
      </c>
      <c r="P48" s="51" t="inlineStr">
        <is>
          <t>金属铰链升级</t>
        </is>
      </c>
      <c r="Q48" s="51" t="inlineStr">
        <is>
          <t>兼容旧 Input 下拉</t>
        </is>
      </c>
      <c r="R48" s="54" t="n"/>
      <c r="S48" s="54" t="n"/>
      <c r="T48" s="54" t="n"/>
      <c r="U48" s="54" t="n"/>
    </row>
  </sheetData>
  <autoFilter ref="A22:U34"/>
  <mergeCells count="8">
    <mergeCell ref="H13:K13"/>
    <mergeCell ref="A13:F13"/>
    <mergeCell ref="A2:R2"/>
    <mergeCell ref="N9:Q9"/>
    <mergeCell ref="A1:R1"/>
    <mergeCell ref="N13:R13"/>
    <mergeCell ref="A3:L3"/>
    <mergeCell ref="N3:P3"/>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22"/>
  <sheetViews>
    <sheetView showGridLines="0" workbookViewId="0">
      <selection activeCell="E16" sqref="E16"/>
    </sheetView>
  </sheetViews>
  <sheetFormatPr baseColWidth="8" defaultColWidth="8.6328125" defaultRowHeight="14"/>
  <cols>
    <col width="14.1796875" customWidth="1" style="189" min="1" max="1"/>
    <col width="21.453125" customWidth="1" style="189" min="2" max="2"/>
    <col width="10.08984375" customWidth="1" style="189" min="3" max="3"/>
    <col width="12.08984375" customWidth="1" style="189" min="4" max="4"/>
    <col width="14.81640625" customWidth="1" style="189" min="5" max="5"/>
    <col width="16.81640625" customWidth="1" style="189" min="6" max="7"/>
    <col width="30.26953125" customWidth="1" style="189" min="8" max="8"/>
    <col width="8.6328125" customWidth="1" style="189" min="9" max="17"/>
    <col width="8.6328125" customWidth="1" style="189" min="18" max="16384"/>
  </cols>
  <sheetData>
    <row r="1" ht="25.5" customHeight="1" s="197">
      <c r="A1" s="209" t="inlineStr">
        <is>
          <t>BOM 核价表（内部）</t>
        </is>
      </c>
      <c r="B1" s="189" t="n"/>
      <c r="C1" s="189" t="n"/>
      <c r="D1" s="189" t="n"/>
      <c r="E1" s="189" t="n"/>
      <c r="F1" s="189" t="n"/>
      <c r="G1" s="189" t="n"/>
      <c r="H1" s="189" t="n"/>
    </row>
    <row r="2">
      <c r="A2" s="211" t="inlineStr">
        <is>
          <t>自动核价页：不要改公式；临时特殊价格在 Input 橙色格填写，长期价格去 Library 维护。</t>
        </is>
      </c>
      <c r="B2" s="189" t="n"/>
      <c r="C2" s="189" t="n"/>
      <c r="D2" s="189" t="n"/>
      <c r="E2" s="189" t="n"/>
      <c r="F2" s="189" t="n"/>
      <c r="G2" s="189" t="n"/>
      <c r="H2" s="189" t="n"/>
    </row>
    <row r="3">
      <c r="A3" s="210" t="inlineStr">
        <is>
          <t>说明：黄色单价/参数可按特殊订单调整；灰色公式自动计算。不要把本表直接发给客户。</t>
        </is>
      </c>
      <c r="B3" s="189" t="n"/>
      <c r="C3" s="189" t="n"/>
      <c r="D3" s="189" t="n"/>
      <c r="E3" s="189" t="n"/>
      <c r="F3" s="189" t="n"/>
      <c r="G3" s="189" t="n"/>
      <c r="H3" s="189" t="n"/>
    </row>
    <row r="4">
      <c r="A4" s="84" t="inlineStr">
        <is>
          <t>成本层级</t>
        </is>
      </c>
      <c r="B4" s="84" t="inlineStr">
        <is>
          <t>项目</t>
        </is>
      </c>
      <c r="C4" s="84" t="inlineStr">
        <is>
          <t>单位</t>
        </is>
      </c>
      <c r="D4" s="84" t="inlineStr">
        <is>
          <t>数量/件</t>
        </is>
      </c>
      <c r="E4" s="84" t="inlineStr">
        <is>
          <t>单价/参数</t>
        </is>
      </c>
      <c r="F4" s="84" t="inlineStr">
        <is>
          <t>RMB/件</t>
        </is>
      </c>
      <c r="G4" s="84" t="inlineStr">
        <is>
          <t>订单总额 RMB</t>
        </is>
      </c>
      <c r="H4" s="84" t="inlineStr">
        <is>
          <t>备注</t>
        </is>
      </c>
    </row>
    <row r="5" ht="42" customHeight="1" s="197">
      <c r="A5" s="8" t="inlineStr">
        <is>
          <t>材料</t>
        </is>
      </c>
      <c r="B5" s="8" t="inlineStr">
        <is>
          <t>陶瓷本体/工厂本体成本</t>
        </is>
      </c>
      <c r="C5" s="8" t="inlineStr">
        <is>
          <t>KG</t>
        </is>
      </c>
      <c r="D5" s="9">
        <f>IFERROR(IF(AND(Input!$G$44="是",N(Input!$E$45)&gt;0),1,Input!$E$25*IFERROR(VLOOKUP(Input!$B$9,Library!$A$5:$L$10,2,FALSE),0)),"")</f>
        <v/>
      </c>
      <c r="E5" s="9">
        <f>IFERROR(IF(AND(Input!$G$44="是",N(Input!$E$45)&gt;0),Input!$E$45,VLOOKUP(Input!$B$9,Library!$A$5:$L$10,3,FALSE)),0)</f>
        <v/>
      </c>
      <c r="F5" s="9">
        <f>IFERROR(IF(AND(Input!$G$44="是",N(Input!$E$45)&gt;0),Input!$E$45,D5*E5),0)</f>
        <v/>
      </c>
      <c r="G5" s="9">
        <f>IFERROR(F5*Input!$B$11,0)</f>
        <v/>
      </c>
      <c r="H5" s="8" t="inlineStr">
        <is>
          <t>成本模型：净重×泥料系数×泥料单价；直接填：只替代马桶/陶瓷本体VC cost</t>
        </is>
      </c>
    </row>
    <row r="6" ht="28" customHeight="1" s="197">
      <c r="A6" s="8" t="inlineStr">
        <is>
          <t>材料</t>
        </is>
      </c>
      <c r="B6" s="8" t="inlineStr">
        <is>
          <t>釉料</t>
        </is>
      </c>
      <c r="C6" s="8" t="inlineStr">
        <is>
          <t>件</t>
        </is>
      </c>
      <c r="D6" s="9">
        <f>IFERROR(IF(AND(Input!$G$44="是",N(Input!$E$45)&gt;0),0,1),"")</f>
        <v/>
      </c>
      <c r="E6" s="9">
        <f>IFERROR(IF(AND(Input!$G$44="是",N(Input!$E$45)&gt;0),0,VLOOKUP(Input!$B$9,Library!$A$5:$L$10,4,FALSE)),0)</f>
        <v/>
      </c>
      <c r="F6" s="9">
        <f>IFERROR(D6*E6,0)</f>
        <v/>
      </c>
      <c r="G6" s="9">
        <f>IFERROR(F6*Input!$B$11,0)</f>
        <v/>
      </c>
      <c r="H6" s="8" t="inlineStr">
        <is>
          <t>直接填本体成本时，釉料视为已包含在本体VC cost中</t>
        </is>
      </c>
    </row>
    <row r="7" ht="28" customHeight="1" s="197">
      <c r="A7" s="8" t="inlineStr">
        <is>
          <t>配件</t>
        </is>
      </c>
      <c r="B7" s="8" t="inlineStr">
        <is>
          <t>水件/五金</t>
        </is>
      </c>
      <c r="C7" s="8" t="inlineStr">
        <is>
          <t>套</t>
        </is>
      </c>
      <c r="D7" s="9">
        <f>IFERROR(IF(OR(Input!$B$9="分体马桶",Input!$B$9="连体马桶",Input!$B$9="挂墙马桶"),IF(Input!$G$44="是",IF(N(Input!$G$14)&gt;0,1,0),1),0),"")</f>
        <v/>
      </c>
      <c r="E7" s="9">
        <f>IFERROR(IF(Input!$G$44="是",Input!$G$14,Input!$G$15),"")</f>
        <v/>
      </c>
      <c r="F7" s="9">
        <f>IFERROR(D7*E7,0)</f>
        <v/>
      </c>
      <c r="G7" s="9">
        <f>IFERROR(F7*Input!$B$11,0)</f>
        <v/>
      </c>
      <c r="H7" s="8" t="inlineStr">
        <is>
          <t>成本模型自动带入水件/五金；直接填模式仅在填写首页D21手动填FOB进仓价时另计</t>
        </is>
      </c>
    </row>
    <row r="8" ht="28" customHeight="1" s="197">
      <c r="A8" s="8" t="inlineStr">
        <is>
          <t>配件</t>
        </is>
      </c>
      <c r="B8" s="8" t="inlineStr">
        <is>
          <t>盖板</t>
        </is>
      </c>
      <c r="C8" s="8" t="inlineStr">
        <is>
          <t>套</t>
        </is>
      </c>
      <c r="D8" s="9">
        <f>IFERROR(IF(AND(OR(Input!$B$9="分体马桶",Input!$B$9="连体马桶",Input!$B$9="挂墙马桶"),Input!$E$9="是"),IF(Input!$G$44="是",IF(N(Input!$G$11)+N(Input!$G$12)&gt;0,1,0),1),0),"")</f>
        <v/>
      </c>
      <c r="E8" s="9">
        <f>IFERROR(IF(Input!$G$44="是",N(Input!$G$11)+N(Input!$G$12),Input!$G$13),"")</f>
        <v/>
      </c>
      <c r="F8" s="9">
        <f>IFERROR(D8*E8,0)</f>
        <v/>
      </c>
      <c r="G8" s="9">
        <f>IFERROR(F8*Input!$B$11,0)</f>
        <v/>
      </c>
      <c r="H8" s="8" t="inlineStr">
        <is>
          <t>成本模型按盖板档次/铰链计价；直接填模式仅在B22/B23填FOB进仓价时另计</t>
        </is>
      </c>
    </row>
    <row r="9" ht="28" customHeight="1" s="197">
      <c r="A9" s="8" t="inlineStr">
        <is>
          <t>配件</t>
        </is>
      </c>
      <c r="B9" s="8" t="inlineStr">
        <is>
          <t>台盆下水/安装件</t>
        </is>
      </c>
      <c r="C9" s="8" t="inlineStr">
        <is>
          <t>套</t>
        </is>
      </c>
      <c r="D9" s="9">
        <f>IFERROR(IF(AND(OR(Input!$B$9="台上盆",Input!$B$9="台下盆",Input!$B$9="立柱盆/半柱盆"),Input!$E$19="是"),1,0),"")</f>
        <v/>
      </c>
      <c r="E9" s="9">
        <f>IFERROR(Input!$G$21,"")</f>
        <v/>
      </c>
      <c r="F9" s="9">
        <f>IFERROR(D9*E9,0)</f>
        <v/>
      </c>
      <c r="G9" s="9">
        <f>IFERROR(F9*Input!$B$11,0)</f>
        <v/>
      </c>
      <c r="H9" s="8" t="inlineStr">
        <is>
          <t>台盆下水/安装件最终单价来自 Input!G20，可手动覆盖</t>
        </is>
      </c>
    </row>
    <row r="10" ht="28" customHeight="1" s="197">
      <c r="A10" s="8" t="inlineStr">
        <is>
          <t>包装</t>
        </is>
      </c>
      <c r="B10" s="8" t="inlineStr">
        <is>
          <t>包装材料</t>
        </is>
      </c>
      <c r="C10" s="8" t="inlineStr">
        <is>
          <t>件</t>
        </is>
      </c>
      <c r="D10" s="9">
        <f>IFERROR(1,"")</f>
        <v/>
      </c>
      <c r="E10" s="9">
        <f>IFERROR(IF(N(Input!$E$47)&gt;0,Input!$E$47,2+6+VLOOKUP(Input!$B$9,Library!$A$5:$L$10,8,FALSE)+Input!$E$27*IFERROR(VLOOKUP(Input!$B$9,Library!$A$5:$L$10,9,FALSE),0)),0)</f>
        <v/>
      </c>
      <c r="F10" s="9">
        <f>IFERROR(D10*E10,0)</f>
        <v/>
      </c>
      <c r="G10" s="9">
        <f>IFERROR(F10*Input!$B$11,0)</f>
        <v/>
      </c>
      <c r="H10" s="8" t="inlineStr">
        <is>
          <t>包装材料另计；可在填写首页B37手动覆盖，空白则自动估算</t>
        </is>
      </c>
    </row>
    <row r="11" ht="28" customHeight="1" s="197">
      <c r="A11" s="8" t="inlineStr">
        <is>
          <t>认证</t>
        </is>
      </c>
      <c r="B11" s="8" t="inlineStr">
        <is>
          <t>认证/测试摊销</t>
        </is>
      </c>
      <c r="C11" s="8" t="inlineStr">
        <is>
          <t>件</t>
        </is>
      </c>
      <c r="D11" s="9">
        <f>IFERROR(IF(Input!$E$30="无",0,1),"")</f>
        <v/>
      </c>
      <c r="E11" s="9">
        <f>IFERROR(IF(Input!$G$30="",Input!$F$30,Input!$G$30),"")</f>
        <v/>
      </c>
      <c r="F11" s="9">
        <f>IFERROR(D11*E11,0)</f>
        <v/>
      </c>
      <c r="G11" s="9">
        <f>IFERROR(F11*Input!$B$11,0)</f>
        <v/>
      </c>
      <c r="H11" s="8" t="inlineStr">
        <is>
          <t>认证参考价来自价格库，可在 Input!G30 手动覆盖</t>
        </is>
      </c>
    </row>
    <row r="12" ht="42" customHeight="1" s="197">
      <c r="A12" s="8" t="inlineStr">
        <is>
          <t>人工</t>
        </is>
      </c>
      <c r="B12" s="8" t="inlineStr">
        <is>
          <t>直接人工</t>
        </is>
      </c>
      <c r="C12" s="8" t="inlineStr">
        <is>
          <t>件</t>
        </is>
      </c>
      <c r="D12" s="9">
        <f>IFERROR(1,"")</f>
        <v/>
      </c>
      <c r="E12" s="9">
        <f>IFERROR(IF(OR(N(Input!$G$47)&gt;0,N(Input!$E$48)&gt;0),N(Input!$G$47)+N(Input!$E$48),VLOOKUP(Input!$B$9,Library!$A$5:$L$10,7,FALSE)),0)</f>
        <v/>
      </c>
      <c r="F12" s="9">
        <f>IFERROR(D12*E12,0)</f>
        <v/>
      </c>
      <c r="G12" s="9">
        <f>IFERROR(F12*Input!$B$11,0)</f>
        <v/>
      </c>
      <c r="H12" s="8" t="inlineStr">
        <is>
          <t>人工另计；可填生产人工D37和包装人工F37覆盖，空白则按品类默认人工</t>
        </is>
      </c>
    </row>
    <row r="13" ht="28" customHeight="1" s="197">
      <c r="A13" s="8" t="inlineStr">
        <is>
          <t>制造</t>
        </is>
      </c>
      <c r="B13" s="8" t="inlineStr">
        <is>
          <t>制造间接/模具分摊</t>
        </is>
      </c>
      <c r="C13" s="8" t="inlineStr">
        <is>
          <t>率</t>
        </is>
      </c>
      <c r="D13" s="9" t="n">
        <v>1</v>
      </c>
      <c r="E13" s="20" t="n">
        <v>0.03</v>
      </c>
      <c r="F13" s="9">
        <f>IFERROR(IF(N(Input!$E$49)&gt;0,Input!$E$49,(SUM(F5:F6)+F12)*E13),0)</f>
        <v/>
      </c>
      <c r="G13" s="9">
        <f>IFERROR(F13*Input!$B$11,0)</f>
        <v/>
      </c>
      <c r="H13" s="8" t="inlineStr">
        <is>
          <t>模具/制造间接另计；可在填写首页B38手动覆盖</t>
        </is>
      </c>
    </row>
    <row r="14" ht="28" customHeight="1" s="197">
      <c r="A14" s="8" t="inlineStr">
        <is>
          <t>损耗</t>
        </is>
      </c>
      <c r="B14" s="8" t="inlineStr">
        <is>
          <t>低合格率/破损预留</t>
        </is>
      </c>
      <c r="C14" s="8" t="inlineStr">
        <is>
          <t>率</t>
        </is>
      </c>
      <c r="D14" s="9" t="n">
        <v>1</v>
      </c>
      <c r="E14" s="20" t="n">
        <v>0.05</v>
      </c>
      <c r="F14" s="9">
        <f>IFERROR(IF(N(Input!$G$48)&gt;0,Input!$G$48,(SUM(F5:F6)+F10+F12)*E14),0)</f>
        <v/>
      </c>
      <c r="G14" s="9">
        <f>IFERROR(F14*Input!$B$11,0)</f>
        <v/>
      </c>
      <c r="H14" s="8" t="inlineStr">
        <is>
          <t>损耗另计；可在填写首页H37手动覆盖</t>
        </is>
      </c>
    </row>
    <row r="15" ht="42" customHeight="1" s="197">
      <c r="A15" s="8" t="inlineStr">
        <is>
          <t>间接</t>
        </is>
      </c>
      <c r="B15" s="8" t="inlineStr">
        <is>
          <t>经营/管理间接费</t>
        </is>
      </c>
      <c r="C15" s="8" t="inlineStr">
        <is>
          <t>率</t>
        </is>
      </c>
      <c r="D15" s="9" t="n">
        <v>1</v>
      </c>
      <c r="E15" s="20">
        <f>IFERROR(Input!$B$27,"")</f>
        <v/>
      </c>
      <c r="F15" s="9">
        <f>IFERROR(IF(N(Input!$G$49)&gt;0,Input!$G$49,SUM(F5:F14)*E15),0)</f>
        <v/>
      </c>
      <c r="G15" s="9">
        <f>IFERROR(F15*Input!$B$11,0)</f>
        <v/>
      </c>
      <c r="H15" s="8" t="inlineStr">
        <is>
          <t>管理费/经营间接另计；可在填写首页D38手动覆盖，空白则按经营费率</t>
        </is>
      </c>
    </row>
    <row r="16" ht="42" customHeight="1" s="197">
      <c r="A16" s="8" t="inlineStr">
        <is>
          <t>物流</t>
        </is>
      </c>
      <c r="B16" s="8" t="inlineStr">
        <is>
          <t>当前条款物流</t>
        </is>
      </c>
      <c r="C16" s="8" t="inlineStr">
        <is>
          <t>件</t>
        </is>
      </c>
      <c r="D16" s="9">
        <f>IFERROR(1,"")</f>
        <v/>
      </c>
      <c r="E16" s="9">
        <f>IFERROR(IF(N(Input!$E$50)&gt;0,Input!$E$50,IFERROR(IF(Input!$B$11&gt;0,((IFERROR(VLOOKUP(Input!$E$29,Library!$N$15:$R$17,2,FALSE)+VLOOKUP(Input!$E$29,Library!$N$15:$R$17,3,FALSE)+VLOOKUP(Input!$E$29,Library!$N$15:$R$17,4,FALSE)+VLOOKUP(Input!$E$29,Library!$N$15:$R$17,5,FALSE),0))*Tiers!$D$3*IFERROR(VLOOKUP(Input!$B$13,Library!$A$15:$F$19,2,FALSE),0)+(IFERROR(VLOOKUP(Input!$B$12,Library!$H$15:$K$20,2,FALSE)*Input!$B$18,0))*Tiers!$D$3*IFERROR(VLOOKUP(Input!$B$13,Library!$A$15:$F$19,3,FALSE),0)+(IFERROR(VLOOKUP(Input!$B$12,Library!$H$15:$K$20,3,FALSE),0))*Tiers!$D$3*IFERROR(VLOOKUP(Input!$B$13,Library!$A$15:$F$19,4,FALSE),0)+(IFERROR(VLOOKUP(Input!$B$12,Library!$H$15:$K$20,4,FALSE),0))*Tiers!$D$3*IFERROR(VLOOKUP(Input!$B$13,Library!$A$15:$F$19,5,FALSE),0))/Input!$B$11,0),0)),0)</f>
        <v/>
      </c>
      <c r="F16" s="9">
        <f>IFERROR(D16*E16,0)</f>
        <v/>
      </c>
      <c r="G16" s="9">
        <f>IFERROR(F16*Input!$B$11,0)</f>
        <v/>
      </c>
      <c r="H16" s="8" t="inlineStr">
        <is>
          <t>物流另计；可在填写首页F38手动覆盖，空白则按条款/市场/装柜量自动计算</t>
        </is>
      </c>
    </row>
    <row r="17" ht="28" customHeight="1" s="197">
      <c r="A17" s="8" t="inlineStr">
        <is>
          <t>合计</t>
        </is>
      </c>
      <c r="B17" s="8" t="inlineStr">
        <is>
          <t>报价基准成本</t>
        </is>
      </c>
      <c r="C17" s="8" t="inlineStr">
        <is>
          <t>件</t>
        </is>
      </c>
      <c r="D17" s="9" t="n"/>
      <c r="E17" s="9" t="n"/>
      <c r="F17" s="18">
        <f>IFERROR(SUM(F5:F16),0)</f>
        <v/>
      </c>
      <c r="G17" s="18">
        <f>IFERROR(F17*Input!$B$11,0)</f>
        <v/>
      </c>
      <c r="H17" s="8" t="inlineStr">
        <is>
          <t>本体成本 + 可选外购件 + 包装 + 人工 + 损耗 + 间接费 + 当前条款物流</t>
        </is>
      </c>
    </row>
    <row r="18" ht="28" customHeight="1" s="197">
      <c r="A18" s="8" t="inlineStr">
        <is>
          <t>换算</t>
        </is>
      </c>
      <c r="B18" s="8" t="inlineStr">
        <is>
          <t>报价币种成本</t>
        </is>
      </c>
      <c r="C18" s="8" t="inlineStr">
        <is>
          <t>件</t>
        </is>
      </c>
      <c r="D18" s="9" t="n"/>
      <c r="E18" s="9" t="n"/>
      <c r="F18" s="18">
        <f>IFERROR(IF(Input!$B$17="RMB",F17,IF(Input!$B$18&gt;0,F17/Input!$B$18,0)),0)</f>
        <v/>
      </c>
      <c r="G18" s="18">
        <f>IFERROR(F18*Input!$B$11,0)</f>
        <v/>
      </c>
      <c r="H18" s="8" t="inlineStr">
        <is>
          <t>RMB 成本按报价币种汇率换算；RMB 报价不换算</t>
        </is>
      </c>
    </row>
    <row r="19" ht="28" customHeight="1" s="197">
      <c r="A19" s="8" t="inlineStr">
        <is>
          <t>报价</t>
        </is>
      </c>
      <c r="B19" s="8" t="inlineStr">
        <is>
          <t>报价币种销售价</t>
        </is>
      </c>
      <c r="C19" s="8" t="inlineStr">
        <is>
          <t>件</t>
        </is>
      </c>
      <c r="D19" s="9" t="n"/>
      <c r="E19" s="9" t="n"/>
      <c r="F19" s="18">
        <f>IFERROR(IF(Input!$B$17="RMB",F20,IF(Input!$B$18&gt;0,F20/Input!$B$18,0)),0)</f>
        <v/>
      </c>
      <c r="G19" s="18">
        <f>IFERROR(F19*Input!$B$11,0)</f>
        <v/>
      </c>
      <c r="H19" s="8" t="inlineStr">
        <is>
          <t>按自产毛利30%默认、外购毛利3%默认和手动覆盖/自动成本反推报价币种销售价</t>
        </is>
      </c>
    </row>
    <row r="20" ht="28" customHeight="1" s="197">
      <c r="A20" s="8" t="inlineStr">
        <is>
          <t>报价</t>
        </is>
      </c>
      <c r="B20" s="8" t="inlineStr">
        <is>
          <t>RMB 销售价</t>
        </is>
      </c>
      <c r="C20" s="8" t="inlineStr">
        <is>
          <t>件</t>
        </is>
      </c>
      <c r="D20" s="9" t="n"/>
      <c r="E20" s="9" t="n"/>
      <c r="F20" s="18">
        <f>IFERROR(IF(AND(1-Input!$B$22&gt;0,1-Input!$B$28&gt;0,1-(Input!$B$24+Input!$B$25+Input!$B$26)&gt;0,1-Input!$B$23&gt;0),MAX((((SUM(F5:F6)+SUM(F12:F15))/(1-Input!$B$22))+(SUM(F7:F11)/(1-Input!$B$28))+F16)/(1-(Input!$B$24+Input!$B$25+Input!$B$26)),((F17/(1-Input!$B$23))/(1-(Input!$B$24+Input!$B$25+Input!$B$26)))),0),0)</f>
        <v/>
      </c>
      <c r="G20" s="18">
        <f>IFERROR(F20*Input!$B$11,0)</f>
        <v/>
      </c>
      <c r="H20" s="8" t="inlineStr">
        <is>
          <t>按报价币种反推前的 RMB 销售价；底线毛利约束已纳入</t>
        </is>
      </c>
    </row>
    <row r="21" ht="28" customHeight="1" s="197">
      <c r="A21" s="8" t="inlineStr">
        <is>
          <t>利润</t>
        </is>
      </c>
      <c r="B21" s="8" t="inlineStr">
        <is>
          <t>目标净毛利</t>
        </is>
      </c>
      <c r="C21" s="8" t="inlineStr">
        <is>
          <t>件</t>
        </is>
      </c>
      <c r="D21" s="9" t="n"/>
      <c r="E21" s="9" t="n"/>
      <c r="F21" s="18">
        <f>IFERROR(F20-F17-F20*(Input!$B$24+Input!$B$25+Input!$B$26),0)</f>
        <v/>
      </c>
      <c r="G21" s="18">
        <f>IFERROR(F21*Input!$B$11,0)</f>
        <v/>
      </c>
      <c r="H21" s="8" t="inlineStr">
        <is>
          <t>销售价 - 成本 - 佣金/售后/汇率预留</t>
        </is>
      </c>
    </row>
    <row r="22">
      <c r="A22" s="8" t="inlineStr">
        <is>
          <t>利润</t>
        </is>
      </c>
      <c r="B22" s="8" t="inlineStr">
        <is>
          <t>当前净毛利率</t>
        </is>
      </c>
      <c r="C22" s="8" t="inlineStr">
        <is>
          <t>率</t>
        </is>
      </c>
      <c r="D22" s="8" t="n"/>
      <c r="E22" s="8" t="n"/>
      <c r="F22" s="91">
        <f>IFERROR(F21/F20,0)</f>
        <v/>
      </c>
      <c r="G22" s="91" t="n"/>
      <c r="H22" s="8" t="inlineStr">
        <is>
          <t>目标净毛利 / RMB 销售价</t>
        </is>
      </c>
    </row>
  </sheetData>
  <sheetProtection selectLockedCells="0" selectUnlockedCells="0" sheet="1" objects="0" insertRows="1" insertHyperlinks="1" autoFilter="1" scenarios="0" formatColumns="1" deleteColumns="1" insertColumns="1" pivotTables="1" deleteRows="1" formatCells="1" formatRows="1" sort="1"/>
  <mergeCells count="3">
    <mergeCell ref="A3:H3"/>
    <mergeCell ref="A2:H2"/>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
  <sheetViews>
    <sheetView showGridLines="0" workbookViewId="0">
      <pane ySplit="5" topLeftCell="A6" activePane="bottomLeft" state="frozen"/>
      <selection pane="bottomLeft" activeCell="A1" sqref="A1:G1"/>
    </sheetView>
  </sheetViews>
  <sheetFormatPr baseColWidth="8" defaultColWidth="8.6328125" defaultRowHeight="14"/>
  <cols>
    <col width="13.453125" customWidth="1" style="189" min="1" max="1"/>
    <col width="12.7265625" customWidth="1" style="189" min="2" max="2"/>
    <col width="17.453125" customWidth="1" style="189" min="3" max="3"/>
    <col width="18.81640625" customWidth="1" style="189" min="4" max="4"/>
    <col width="17.453125" customWidth="1" style="189" min="5" max="5"/>
    <col width="18.81640625" customWidth="1" style="189" min="6" max="6"/>
    <col width="28.90625" customWidth="1" style="189" min="7" max="7"/>
    <col width="8.6328125" customWidth="1" style="189" min="8" max="16"/>
    <col width="8.6328125" customWidth="1" style="189" min="17" max="16384"/>
  </cols>
  <sheetData>
    <row r="1" ht="25.5" customHeight="1" s="197">
      <c r="A1" s="209" t="inlineStr">
        <is>
          <t>数量阶梯报价</t>
        </is>
      </c>
      <c r="B1" s="189" t="n"/>
      <c r="C1" s="189" t="n"/>
      <c r="D1" s="189" t="n"/>
      <c r="E1" s="189" t="n"/>
      <c r="F1" s="189" t="n"/>
      <c r="G1" s="189" t="n"/>
    </row>
    <row r="2">
      <c r="A2" s="211" t="inlineStr">
        <is>
          <t>自动数量阶梯页：只看结果；柜数和物流根据 Packing 动态装柜量自动重算。</t>
        </is>
      </c>
      <c r="B2" s="189" t="n"/>
      <c r="C2" s="189" t="n"/>
      <c r="D2" s="189" t="n"/>
      <c r="E2" s="189" t="n"/>
      <c r="F2" s="189" t="n"/>
      <c r="G2" s="189" t="n"/>
    </row>
    <row r="3" ht="28" customHeight="1" s="197">
      <c r="A3" s="92" t="inlineStr">
        <is>
          <t>当前动态装柜量</t>
        </is>
      </c>
      <c r="B3" s="93">
        <f>IFERROR(IF(N(Input!$G$45)&gt;0,Input!$G$45,Packing!$B$36),"")</f>
        <v/>
      </c>
      <c r="C3" s="92" t="inlineStr">
        <is>
          <t>当前订单柜数</t>
        </is>
      </c>
      <c r="D3" s="93">
        <f>IFERROR(MAX(1,ROUNDUP(Input!$B$11/MAX($B$3,1),0)),"")</f>
        <v/>
      </c>
      <c r="E3" s="92" t="inlineStr">
        <is>
          <t>说明</t>
        </is>
      </c>
      <c r="F3" s="12" t="inlineStr">
        <is>
          <t>手动装柜量优先；为空时按Packing自动测算</t>
        </is>
      </c>
      <c r="G3" s="12" t="n"/>
    </row>
    <row r="4">
      <c r="A4" s="92" t="inlineStr">
        <is>
          <t>当前订单数量</t>
        </is>
      </c>
      <c r="B4" s="215">
        <f>IFERROR(Input!$B$11,"")</f>
        <v/>
      </c>
      <c r="C4" s="92" t="inlineStr">
        <is>
          <t>贸易条款</t>
        </is>
      </c>
      <c r="D4" s="215">
        <f>IFERROR(Input!$B$13,"")</f>
        <v/>
      </c>
      <c r="E4" s="92" t="inlineStr">
        <is>
          <t>装运港/目的港</t>
        </is>
      </c>
      <c r="F4" s="12">
        <f>IFERROR(Input!$B$15&amp;" / "&amp;Input!$B$16,"")</f>
        <v/>
      </c>
      <c r="G4" s="12" t="n"/>
    </row>
    <row r="5">
      <c r="A5" s="54" t="n"/>
      <c r="B5" s="54" t="n"/>
      <c r="C5" s="54" t="n"/>
      <c r="D5" s="54" t="n"/>
      <c r="E5" s="54" t="n"/>
      <c r="F5" s="54" t="n"/>
      <c r="G5" s="54" t="n"/>
    </row>
    <row r="6" ht="28" customHeight="1" s="197">
      <c r="A6" s="84" t="inlineStr">
        <is>
          <t>数量档</t>
        </is>
      </c>
      <c r="B6" s="84" t="inlineStr">
        <is>
          <t>柜数</t>
        </is>
      </c>
      <c r="C6" s="84" t="inlineStr">
        <is>
          <t>条款物流 RMB/件</t>
        </is>
      </c>
      <c r="D6" s="84" t="inlineStr">
        <is>
          <t>报价基准成本 RMB/件</t>
        </is>
      </c>
      <c r="E6" s="84" t="inlineStr">
        <is>
          <t>报价币种报价/件</t>
        </is>
      </c>
      <c r="F6" s="84" t="inlineStr">
        <is>
          <t>订单总额</t>
        </is>
      </c>
      <c r="G6" s="84" t="inlineStr">
        <is>
          <t>备注</t>
        </is>
      </c>
    </row>
    <row r="7">
      <c r="A7" s="94" t="n">
        <v>100</v>
      </c>
      <c r="B7" s="75">
        <f>IFERROR(MAX(1,ROUNDUP(A7/MAX($B$3,1),0)),"")</f>
        <v/>
      </c>
      <c r="C7" s="68">
        <f>IFERROR(IF(A7&gt;0,((IFERROR(VLOOKUP(Input!$E$29,Library!$N$15:$R$17,2,FALSE)+VLOOKUP(Input!$E$29,Library!$N$15:$R$17,3,FALSE)+VLOOKUP(Input!$E$29,Library!$N$15:$R$17,4,FALSE)+VLOOKUP(Input!$E$29,Library!$N$15:$R$17,5,FALSE),0))*B7*IFERROR(VLOOKUP(Input!$B$13,Library!$A$15:$F$19,2,FALSE),0)+(IFERROR(VLOOKUP(Input!$B$12,Library!$H$15:$K$20,2,FALSE)*Input!$B$18,0))*B7*IFERROR(VLOOKUP(Input!$B$13,Library!$A$15:$F$19,3,FALSE),0)+(IFERROR(VLOOKUP(Input!$B$12,Library!$H$15:$K$20,3,FALSE),0))*B7*IFERROR(VLOOKUP(Input!$B$13,Library!$A$15:$F$19,4,FALSE),0)+(IFERROR(VLOOKUP(Input!$B$12,Library!$H$15:$K$20,4,FALSE),0))*B7*IFERROR(VLOOKUP(Input!$B$13,Library!$A$15:$F$19,5,FALSE),0))/A7,0),0)</f>
        <v/>
      </c>
      <c r="D7" s="68">
        <f>IFERROR(BOM!$F$17-BOM!$F$16+C7,"")</f>
        <v/>
      </c>
      <c r="E7" s="252">
        <f>IFERROR(IF(CustomerQuote!$B$12="","",IF(Input!$B$17="RMB",MAX((((SUM(BOM!$F$5:$F$6)+SUM(BOM!$F$12:$F$15))/(1-Input!$B$22))+(SUM(BOM!$F$7:$F$11)/(1-Input!$B$28))+C7)/(1-(Input!$B$24+Input!$B$25+Input!$B$26)),D7/(1-Input!$B$23)/(1-(Input!$B$24+Input!$B$25+Input!$B$26))),MAX((((SUM(BOM!$F$5:$F$6)+SUM(BOM!$F$12:$F$15))/(1-Input!$B$22))+(SUM(BOM!$F$7:$F$11)/(1-Input!$B$28))+C7)/(1-(Input!$B$24+Input!$B$25+Input!$B$26)),D7/(1-Input!$B$23)/(1-(Input!$B$24+Input!$B$25+Input!$B$26)))/Input!$B$18)),"")</f>
        <v/>
      </c>
      <c r="F7" s="252">
        <f>IFERROR(E7*A7,"")</f>
        <v/>
      </c>
      <c r="G7" s="13">
        <f>IFERROR(Input!$B$13&amp;" "&amp;IF(OR(Input!$B$13="CFR",Input!$B$13="CIF"),Input!$B$16,Input!$B$15)&amp;", "&amp;Input!$B$14,"")</f>
        <v/>
      </c>
    </row>
    <row r="8">
      <c r="A8" s="94" t="n">
        <v>300</v>
      </c>
      <c r="B8" s="75">
        <f>IFERROR(MAX(1,ROUNDUP(A8/MAX($B$3,1),0)),"")</f>
        <v/>
      </c>
      <c r="C8" s="68">
        <f>IFERROR(IF(A8&gt;0,((IFERROR(VLOOKUP(Input!$E$29,Library!$N$15:$R$17,2,FALSE)+VLOOKUP(Input!$E$29,Library!$N$15:$R$17,3,FALSE)+VLOOKUP(Input!$E$29,Library!$N$15:$R$17,4,FALSE)+VLOOKUP(Input!$E$29,Library!$N$15:$R$17,5,FALSE),0))*B8*IFERROR(VLOOKUP(Input!$B$13,Library!$A$15:$F$19,2,FALSE),0)+(IFERROR(VLOOKUP(Input!$B$12,Library!$H$15:$K$20,2,FALSE)*Input!$B$18,0))*B8*IFERROR(VLOOKUP(Input!$B$13,Library!$A$15:$F$19,3,FALSE),0)+(IFERROR(VLOOKUP(Input!$B$12,Library!$H$15:$K$20,3,FALSE),0))*B8*IFERROR(VLOOKUP(Input!$B$13,Library!$A$15:$F$19,4,FALSE),0)+(IFERROR(VLOOKUP(Input!$B$12,Library!$H$15:$K$20,4,FALSE),0))*B8*IFERROR(VLOOKUP(Input!$B$13,Library!$A$15:$F$19,5,FALSE),0))/A8,0),0)</f>
        <v/>
      </c>
      <c r="D8" s="68">
        <f>IFERROR(BOM!$F$17-BOM!$F$16+C8,"")</f>
        <v/>
      </c>
      <c r="E8" s="252">
        <f>IFERROR(IF(CustomerQuote!$B$12="","",IF(Input!$B$17="RMB",MAX((((SUM(BOM!$F$5:$F$6)+SUM(BOM!$F$12:$F$15))/(1-Input!$B$22))+(SUM(BOM!$F$7:$F$11)/(1-Input!$B$28))+C8)/(1-(Input!$B$24+Input!$B$25+Input!$B$26)),D8/(1-Input!$B$23)/(1-(Input!$B$24+Input!$B$25+Input!$B$26))),MAX((((SUM(BOM!$F$5:$F$6)+SUM(BOM!$F$12:$F$15))/(1-Input!$B$22))+(SUM(BOM!$F$7:$F$11)/(1-Input!$B$28))+C8)/(1-(Input!$B$24+Input!$B$25+Input!$B$26)),D8/(1-Input!$B$23)/(1-(Input!$B$24+Input!$B$25+Input!$B$26)))/Input!$B$18)),"")</f>
        <v/>
      </c>
      <c r="F8" s="252">
        <f>IFERROR(E8*A8,"")</f>
        <v/>
      </c>
      <c r="G8" s="13">
        <f>IFERROR(Input!$B$13&amp;" "&amp;IF(OR(Input!$B$13="CFR",Input!$B$13="CIF"),Input!$B$16,Input!$B$15)&amp;", "&amp;Input!$B$14,"")</f>
        <v/>
      </c>
    </row>
    <row r="9">
      <c r="A9" s="94" t="n">
        <v>500</v>
      </c>
      <c r="B9" s="75">
        <f>IFERROR(MAX(1,ROUNDUP(A9/MAX($B$3,1),0)),"")</f>
        <v/>
      </c>
      <c r="C9" s="68">
        <f>IFERROR(IF(A9&gt;0,((IFERROR(VLOOKUP(Input!$E$29,Library!$N$15:$R$17,2,FALSE)+VLOOKUP(Input!$E$29,Library!$N$15:$R$17,3,FALSE)+VLOOKUP(Input!$E$29,Library!$N$15:$R$17,4,FALSE)+VLOOKUP(Input!$E$29,Library!$N$15:$R$17,5,FALSE),0))*B9*IFERROR(VLOOKUP(Input!$B$13,Library!$A$15:$F$19,2,FALSE),0)+(IFERROR(VLOOKUP(Input!$B$12,Library!$H$15:$K$20,2,FALSE)*Input!$B$18,0))*B9*IFERROR(VLOOKUP(Input!$B$13,Library!$A$15:$F$19,3,FALSE),0)+(IFERROR(VLOOKUP(Input!$B$12,Library!$H$15:$K$20,3,FALSE),0))*B9*IFERROR(VLOOKUP(Input!$B$13,Library!$A$15:$F$19,4,FALSE),0)+(IFERROR(VLOOKUP(Input!$B$12,Library!$H$15:$K$20,4,FALSE),0))*B9*IFERROR(VLOOKUP(Input!$B$13,Library!$A$15:$F$19,5,FALSE),0))/A9,0),0)</f>
        <v/>
      </c>
      <c r="D9" s="68">
        <f>IFERROR(BOM!$F$17-BOM!$F$16+C9,"")</f>
        <v/>
      </c>
      <c r="E9" s="252">
        <f>IFERROR(IF(CustomerQuote!$B$12="","",IF(Input!$B$17="RMB",MAX((((SUM(BOM!$F$5:$F$6)+SUM(BOM!$F$12:$F$15))/(1-Input!$B$22))+(SUM(BOM!$F$7:$F$11)/(1-Input!$B$28))+C9)/(1-(Input!$B$24+Input!$B$25+Input!$B$26)),D9/(1-Input!$B$23)/(1-(Input!$B$24+Input!$B$25+Input!$B$26))),MAX((((SUM(BOM!$F$5:$F$6)+SUM(BOM!$F$12:$F$15))/(1-Input!$B$22))+(SUM(BOM!$F$7:$F$11)/(1-Input!$B$28))+C9)/(1-(Input!$B$24+Input!$B$25+Input!$B$26)),D9/(1-Input!$B$23)/(1-(Input!$B$24+Input!$B$25+Input!$B$26)))/Input!$B$18)),"")</f>
        <v/>
      </c>
      <c r="F9" s="252">
        <f>IFERROR(E9*A9,"")</f>
        <v/>
      </c>
      <c r="G9" s="13">
        <f>IFERROR(Input!$B$13&amp;" "&amp;IF(OR(Input!$B$13="CFR",Input!$B$13="CIF"),Input!$B$16,Input!$B$15)&amp;", "&amp;Input!$B$14,"")</f>
        <v/>
      </c>
    </row>
    <row r="10">
      <c r="A10" s="94" t="n">
        <v>1000</v>
      </c>
      <c r="B10" s="75">
        <f>IFERROR(MAX(1,ROUNDUP(A10/MAX($B$3,1),0)),"")</f>
        <v/>
      </c>
      <c r="C10" s="68">
        <f>IFERROR(IF(A10&gt;0,((IFERROR(VLOOKUP(Input!$E$29,Library!$N$15:$R$17,2,FALSE)+VLOOKUP(Input!$E$29,Library!$N$15:$R$17,3,FALSE)+VLOOKUP(Input!$E$29,Library!$N$15:$R$17,4,FALSE)+VLOOKUP(Input!$E$29,Library!$N$15:$R$17,5,FALSE),0))*B10*IFERROR(VLOOKUP(Input!$B$13,Library!$A$15:$F$19,2,FALSE),0)+(IFERROR(VLOOKUP(Input!$B$12,Library!$H$15:$K$20,2,FALSE)*Input!$B$18,0))*B10*IFERROR(VLOOKUP(Input!$B$13,Library!$A$15:$F$19,3,FALSE),0)+(IFERROR(VLOOKUP(Input!$B$12,Library!$H$15:$K$20,3,FALSE),0))*B10*IFERROR(VLOOKUP(Input!$B$13,Library!$A$15:$F$19,4,FALSE),0)+(IFERROR(VLOOKUP(Input!$B$12,Library!$H$15:$K$20,4,FALSE),0))*B10*IFERROR(VLOOKUP(Input!$B$13,Library!$A$15:$F$19,5,FALSE),0))/A10,0),0)</f>
        <v/>
      </c>
      <c r="D10" s="68">
        <f>IFERROR(BOM!$F$17-BOM!$F$16+C10,"")</f>
        <v/>
      </c>
      <c r="E10" s="252">
        <f>IFERROR(IF(CustomerQuote!$B$12="","",IF(Input!$B$17="RMB",MAX((((SUM(BOM!$F$5:$F$6)+SUM(BOM!$F$12:$F$15))/(1-Input!$B$22))+(SUM(BOM!$F$7:$F$11)/(1-Input!$B$28))+C10)/(1-(Input!$B$24+Input!$B$25+Input!$B$26)),D10/(1-Input!$B$23)/(1-(Input!$B$24+Input!$B$25+Input!$B$26))),MAX((((SUM(BOM!$F$5:$F$6)+SUM(BOM!$F$12:$F$15))/(1-Input!$B$22))+(SUM(BOM!$F$7:$F$11)/(1-Input!$B$28))+C10)/(1-(Input!$B$24+Input!$B$25+Input!$B$26)),D10/(1-Input!$B$23)/(1-(Input!$B$24+Input!$B$25+Input!$B$26)))/Input!$B$18)),"")</f>
        <v/>
      </c>
      <c r="F10" s="252">
        <f>IFERROR(E10*A10,"")</f>
        <v/>
      </c>
      <c r="G10" s="13">
        <f>IFERROR(Input!$B$13&amp;" "&amp;IF(OR(Input!$B$13="CFR",Input!$B$13="CIF"),Input!$B$16,Input!$B$15)&amp;", "&amp;Input!$B$14,"")</f>
        <v/>
      </c>
    </row>
  </sheetData>
  <sheetProtection selectLockedCells="0" selectUnlockedCells="0" sheet="1" objects="0" insertRows="1" insertHyperlinks="1" autoFilter="1" scenarios="0" formatColumns="1" deleteColumns="1" insertColumns="1" pivotTables="1" deleteRows="1" formatCells="1" formatRows="1" sort="1"/>
  <mergeCells count="2">
    <mergeCell ref="A2:G2"/>
    <mergeCell ref="A1:G1"/>
  </mergeCells>
  <pageMargins left="0.7" right="0.7" top="0.75" bottom="0.75" header="0.3" footer="0.3"/>
</worksheet>
</file>

<file path=xl/worksheets/sheet7.xml><?xml version="1.0" encoding="utf-8"?>
<worksheet xmlns="http://schemas.openxmlformats.org/spreadsheetml/2006/main">
  <sheetPr>
    <tabColor rgb="FF5B9BD5"/>
    <outlinePr summaryBelow="1" summaryRight="1"/>
    <pageSetUpPr/>
  </sheetPr>
  <dimension ref="A1:G27"/>
  <sheetViews>
    <sheetView showGridLines="0" workbookViewId="0">
      <pane ySplit="14" topLeftCell="A15" activePane="bottomLeft" state="frozen"/>
      <selection pane="bottomLeft" activeCell="A1" sqref="A1"/>
    </sheetView>
  </sheetViews>
  <sheetFormatPr baseColWidth="8" defaultColWidth="8.6328125" defaultRowHeight="14"/>
  <cols>
    <col width="16.1796875" customWidth="1" style="189" min="1" max="1"/>
    <col width="21.453125" customWidth="1" style="189" min="2" max="2"/>
    <col width="16.1796875" customWidth="1" style="189" min="3" max="3"/>
    <col width="21.453125" customWidth="1" style="189" min="4" max="4"/>
    <col width="16.1796875" customWidth="1" style="189" min="5" max="5"/>
    <col width="21.453125" customWidth="1" style="189" min="6" max="6"/>
    <col width="16.1796875" customWidth="1" style="189" min="7" max="7"/>
    <col width="8.6328125" customWidth="1" style="189" min="8" max="16"/>
    <col width="8.6328125" customWidth="1" style="189" min="17" max="16384"/>
  </cols>
  <sheetData>
    <row r="1" ht="25.5" customHeight="1" s="197">
      <c r="A1" s="209" t="inlineStr">
        <is>
          <t>Customer Quotation</t>
        </is>
      </c>
      <c r="B1" s="189" t="n"/>
      <c r="C1" s="189" t="n"/>
      <c r="D1" s="189" t="n"/>
      <c r="E1" s="189" t="n"/>
      <c r="F1" s="189" t="n"/>
      <c r="G1" s="189" t="n"/>
    </row>
    <row r="2">
      <c r="A2" s="214" t="inlineStr">
        <is>
          <t>Customer-facing quotation. Internal costs, margins, suppliers and risk reserves are not shown.</t>
        </is>
      </c>
      <c r="B2" s="189" t="n"/>
      <c r="C2" s="189" t="n"/>
      <c r="D2" s="189" t="n"/>
      <c r="E2" s="189" t="n"/>
      <c r="F2" s="189" t="n"/>
      <c r="G2" s="189" t="n"/>
    </row>
    <row r="3">
      <c r="A3" s="213" t="inlineStr">
        <is>
          <t>Use this sheet for print/PDF export after all required inputs are complete.</t>
        </is>
      </c>
      <c r="B3" s="189" t="n"/>
      <c r="C3" s="189" t="n"/>
      <c r="D3" s="189" t="n"/>
      <c r="E3" s="189" t="n"/>
      <c r="F3" s="189" t="n"/>
      <c r="G3" s="189" t="n"/>
    </row>
    <row r="4">
      <c r="A4" s="212" t="n"/>
      <c r="B4" s="212" t="n"/>
      <c r="C4" s="212" t="n"/>
      <c r="D4" s="212" t="n"/>
      <c r="E4" s="212" t="n"/>
      <c r="F4" s="212" t="n"/>
      <c r="G4" s="212" t="n"/>
    </row>
    <row r="5">
      <c r="A5" s="216" t="inlineStr">
        <is>
          <t>Quote No.</t>
        </is>
      </c>
      <c r="B5" s="216">
        <f>Input!$B$5</f>
        <v/>
      </c>
      <c r="C5" s="216" t="inlineStr">
        <is>
          <t>Date</t>
        </is>
      </c>
      <c r="D5" s="96">
        <f>IF(Input!$B$4="","",Input!$B$4)</f>
        <v/>
      </c>
      <c r="E5" s="216" t="inlineStr">
        <is>
          <t>Valid Days</t>
        </is>
      </c>
      <c r="F5" s="216">
        <f>Input!$B$19</f>
        <v/>
      </c>
      <c r="G5" s="212" t="n"/>
    </row>
    <row r="6">
      <c r="A6" s="216" t="inlineStr">
        <is>
          <t>Customer</t>
        </is>
      </c>
      <c r="B6" s="216">
        <f>IF(Input!$B$6="","",Input!$B$6)</f>
        <v/>
      </c>
      <c r="C6" s="216" t="inlineStr">
        <is>
          <t>Project</t>
        </is>
      </c>
      <c r="D6" s="216">
        <f>IF(Input!$B$7="","",Input!$B$7)</f>
        <v/>
      </c>
      <c r="E6" s="216" t="inlineStr">
        <is>
          <t>Sales</t>
        </is>
      </c>
      <c r="F6" s="216">
        <f>IF(Input!$B$8="","",Input!$B$8)</f>
        <v/>
      </c>
      <c r="G6" s="212" t="n"/>
    </row>
    <row r="7">
      <c r="A7" s="216" t="inlineStr">
        <is>
          <t>Product</t>
        </is>
      </c>
      <c r="B7" s="216">
        <f>IFERROR(IF(Input!$B$9="分体马桶","Two-piece Toilet",IF(Input!$B$9="连体马桶","One-piece Toilet",IF(Input!$B$9="挂墙马桶","Wall-hung Toilet",IF(Input!$B$9="台上盆","Vessel Basin",IF(Input!$B$9="台下盆","Undermount Basin",IF(Input!$B$9="立柱盆/半柱盆","Pedestal / Semi-pedestal Basin",IF(Input!$B$9="","",Input!$B$9))))))),"")</f>
        <v/>
      </c>
      <c r="C7" s="216" t="inlineStr">
        <is>
          <t>Model</t>
        </is>
      </c>
      <c r="D7" s="216">
        <f>IF(Input!$B$10="","",Input!$B$10)</f>
        <v/>
      </c>
      <c r="E7" s="216" t="inlineStr">
        <is>
          <t>Quantity</t>
        </is>
      </c>
      <c r="F7" s="216">
        <f>IF(Input!$B$11="","",Input!$B$11)</f>
        <v/>
      </c>
      <c r="G7" s="212" t="n"/>
    </row>
    <row r="8">
      <c r="A8" s="216" t="inlineStr">
        <is>
          <t>Trade Term</t>
        </is>
      </c>
      <c r="B8" s="216">
        <f>IF(Input!$B$13="","",Input!$B$13&amp;" "&amp;IF(OR(Input!$B$13="CFR",Input!$B$13="CIF"),Input!$B$16,Input!$B$15))</f>
        <v/>
      </c>
      <c r="C8" s="216" t="inlineStr">
        <is>
          <t>Incoterms</t>
        </is>
      </c>
      <c r="D8" s="216">
        <f>IF(Input!$B$14="","",Input!$B$14)</f>
        <v/>
      </c>
      <c r="E8" s="216" t="inlineStr">
        <is>
          <t>Currency</t>
        </is>
      </c>
      <c r="F8" s="216">
        <f>IF(Input!$B$17="","",Input!$B$17)</f>
        <v/>
      </c>
      <c r="G8" s="212" t="n"/>
    </row>
    <row r="9" ht="28" customHeight="1" s="197">
      <c r="A9" s="216" t="inlineStr">
        <is>
          <t>Port of Loading</t>
        </is>
      </c>
      <c r="B9" s="216">
        <f>IF(Input!$B$15="","",Input!$B$15)</f>
        <v/>
      </c>
      <c r="C9" s="216" t="inlineStr">
        <is>
          <t>Destination Port</t>
        </is>
      </c>
      <c r="D9" s="216">
        <f>IF(Input!$B$16="","",Input!$B$16)</f>
        <v/>
      </c>
      <c r="E9" s="216" t="inlineStr">
        <is>
          <t>Market</t>
        </is>
      </c>
      <c r="F9" s="216">
        <f>IFERROR(IF(Input!$B$12="美国","USA",IF(Input!$B$12="欧洲","Europe",IF(Input!$B$12="中东","Middle East",IF(Input!$B$12="亚洲","Asia",IF(Input!$B$12="其他","Other",IF(Input!$B$12="","",Input!$B$12)))))),"")</f>
        <v/>
      </c>
      <c r="G9" s="212" t="n"/>
    </row>
    <row r="10" ht="42" customHeight="1" s="197">
      <c r="A10" s="216" t="inlineStr">
        <is>
          <t>MOQ</t>
        </is>
      </c>
      <c r="B10" s="216">
        <f>IF(Input!$B$20="","",Input!$B$20)</f>
        <v/>
      </c>
      <c r="C10" s="216" t="inlineStr">
        <is>
          <t>Lead Time</t>
        </is>
      </c>
      <c r="D10" s="216">
        <f>IF(Input!$B$21="","",Input!$B$21&amp;" days")</f>
        <v/>
      </c>
      <c r="E10" s="216" t="inlineStr">
        <is>
          <t>Payment</t>
        </is>
      </c>
      <c r="F10" s="216" t="inlineStr">
        <is>
          <t>T/T 30% deposit, balance before shipment.</t>
        </is>
      </c>
      <c r="G10" s="212" t="n"/>
    </row>
    <row r="11" ht="28" customHeight="1" s="197">
      <c r="A11" s="216" t="inlineStr">
        <is>
          <t>Certification</t>
        </is>
      </c>
      <c r="B11" s="216">
        <f>IF(Input!$E$30="","",IF(Input!$E$30="无","None",Input!$E$30))</f>
        <v/>
      </c>
      <c r="C11" s="216" t="inlineStr">
        <is>
          <t>Packing</t>
        </is>
      </c>
      <c r="D11" s="216" t="inlineStr">
        <is>
          <t>Standard export carton</t>
        </is>
      </c>
      <c r="E11" s="216" t="inlineStr">
        <is>
          <t>Remark</t>
        </is>
      </c>
      <c r="F11" s="216">
        <f>IF(Input!$E$31="","",Input!$E$31)</f>
        <v/>
      </c>
      <c r="G11" s="212" t="n"/>
    </row>
    <row r="12">
      <c r="A12" s="215" t="inlineStr">
        <is>
          <t>Unit Price</t>
        </is>
      </c>
      <c r="B12" s="97">
        <f>IF(Input!$I$16="待填写","",IF(BOM!$F$19=0,"",BOM!$F$19))</f>
        <v/>
      </c>
      <c r="C12" s="97" t="inlineStr">
        <is>
          <t>Total Amount</t>
        </is>
      </c>
      <c r="D12" s="97">
        <f>IF(OR(Input!$I$16="待填写",BOM!$F$19=0,Input!$B$11=""),"",BOM!$F$19*Input!$B$11)</f>
        <v/>
      </c>
      <c r="E12" s="215" t="inlineStr">
        <is>
          <t>Price Basis</t>
        </is>
      </c>
      <c r="F12" s="215">
        <f>IF(OR(Input!$B$13="",Input!$B$14=""),"",Input!$B$13&amp;" "&amp;IF(OR(Input!$B$13="CFR",Input!$B$13="CIF"),Input!$B$16,Input!$B$15)&amp;", "&amp;Input!$B$14)</f>
        <v/>
      </c>
      <c r="G12" s="15" t="n"/>
    </row>
    <row r="13" ht="28" customHeight="1" s="197">
      <c r="A13" s="215" t="inlineStr">
        <is>
          <t>Seat Cover / Accessory</t>
        </is>
      </c>
      <c r="B13" s="215">
        <f>IFERROR(IF(Input!$E$9="是",IF(Input!$E$11="PP 普通","PP Standard",IF(Input!$E$11="PP 缓降","PP Soft-close",IF(Input!$E$11="UF 缓降","UF Soft-close",IF(Input!$E$11="UF 快拆","UF Quick-release",IF(Input!$E$11="薄盖快拆","Slim Quick-release",IF(Input!$E$11="智能盖板","Smart Seat Cover",IF(Input!$E$11="","",Input!$E$11))))))),"Not included"),"")</f>
        <v/>
      </c>
      <c r="C13" s="215" t="inlineStr">
        <is>
          <t>Seat Model</t>
        </is>
      </c>
      <c r="D13" s="215">
        <f>IF(Input!$E$9="是",Input!$E$10,IF(Input!$E$9="","","-"))</f>
        <v/>
      </c>
      <c r="E13" s="215" t="inlineStr">
        <is>
          <t>Hinge</t>
        </is>
      </c>
      <c r="F13" s="215">
        <f>IFERROR(IF(Input!$E$9="是",IF(Input!$E$12="常规","Standard",IF(Input!$E$12="常规缓降","Standard Soft-close",IF(Input!$E$12="快拆缓降","Quick-release Soft-close",IF(Input!$E$12="不锈钢铰链","Stainless Steel Hinge",IF(Input!$E$12="锌合金铰链","Zinc Alloy Hinge",IF(Input!$E$12="金属铰链","Metal Hinge",IF(Input!$E$12="","",Input!$E$12))))))),""),"")</f>
        <v/>
      </c>
      <c r="G13" s="15" t="n"/>
    </row>
    <row r="14">
      <c r="A14" s="15" t="n"/>
      <c r="B14" s="15" t="n"/>
      <c r="C14" s="15" t="n"/>
      <c r="D14" s="15" t="n"/>
      <c r="E14" s="15" t="n"/>
      <c r="F14" s="15" t="n"/>
      <c r="G14" s="15" t="n"/>
    </row>
    <row r="15">
      <c r="A15" s="215" t="inlineStr">
        <is>
          <t>Quantity Price Tiers</t>
        </is>
      </c>
      <c r="B15" s="189" t="n"/>
      <c r="C15" s="189" t="n"/>
      <c r="D15" s="189" t="n"/>
      <c r="E15" s="189" t="n"/>
      <c r="F15" s="189" t="n"/>
      <c r="G15" s="189" t="n"/>
    </row>
    <row r="16">
      <c r="A16" s="215" t="inlineStr">
        <is>
          <t>Quantity</t>
        </is>
      </c>
      <c r="B16" s="215" t="inlineStr">
        <is>
          <t>Unit Price</t>
        </is>
      </c>
      <c r="C16" s="215" t="inlineStr">
        <is>
          <t>Total Amount</t>
        </is>
      </c>
      <c r="D16" s="215" t="inlineStr">
        <is>
          <t>Trade Term</t>
        </is>
      </c>
      <c r="E16" s="215" t="inlineStr">
        <is>
          <t>Lead Time</t>
        </is>
      </c>
      <c r="F16" s="215" t="inlineStr">
        <is>
          <t>MOQ</t>
        </is>
      </c>
      <c r="G16" s="215" t="inlineStr">
        <is>
          <t>Remark</t>
        </is>
      </c>
    </row>
    <row r="17">
      <c r="A17" s="15">
        <f>IFERROR(Tiers!A7,"")</f>
        <v/>
      </c>
      <c r="B17" s="21">
        <f>IF(Tiers!E7=0,"",Tiers!E7)</f>
        <v/>
      </c>
      <c r="C17" s="21">
        <f>IF(Tiers!F7=0,"",Tiers!F7)</f>
        <v/>
      </c>
      <c r="D17" s="15">
        <f>IF(Input!$B$13="","",Input!$B$13&amp;" "&amp;IF(OR(Input!$B$13="CFR",Input!$B$13="CIF"),Input!$B$16,Input!$B$15))</f>
        <v/>
      </c>
      <c r="E17" s="15">
        <f>IF(Input!$B$21="","",Input!$B$21&amp;" days")</f>
        <v/>
      </c>
      <c r="F17" s="15">
        <f>IF(Input!$B$20="","",Input!$B$20)</f>
        <v/>
      </c>
      <c r="G17" s="15">
        <f>IF(Input!$B$14="","",Input!$B$14)</f>
        <v/>
      </c>
    </row>
    <row r="18">
      <c r="A18" s="15">
        <f>IFERROR(Tiers!A8,"")</f>
        <v/>
      </c>
      <c r="B18" s="21">
        <f>IF(Tiers!E8=0,"",Tiers!E8)</f>
        <v/>
      </c>
      <c r="C18" s="21">
        <f>IF(Tiers!F8=0,"",Tiers!F8)</f>
        <v/>
      </c>
      <c r="D18" s="15">
        <f>IF(Input!$B$13="","",Input!$B$13&amp;" "&amp;IF(OR(Input!$B$13="CFR",Input!$B$13="CIF"),Input!$B$16,Input!$B$15))</f>
        <v/>
      </c>
      <c r="E18" s="15">
        <f>IF(Input!$B$21="","",Input!$B$21&amp;" days")</f>
        <v/>
      </c>
      <c r="F18" s="15">
        <f>IF(Input!$B$20="","",Input!$B$20)</f>
        <v/>
      </c>
      <c r="G18" s="15">
        <f>IF(Input!$B$14="","",Input!$B$14)</f>
        <v/>
      </c>
    </row>
    <row r="19">
      <c r="A19" s="15">
        <f>IFERROR(Tiers!A9,"")</f>
        <v/>
      </c>
      <c r="B19" s="21">
        <f>IF(Tiers!E9=0,"",Tiers!E9)</f>
        <v/>
      </c>
      <c r="C19" s="21">
        <f>IF(Tiers!F9=0,"",Tiers!F9)</f>
        <v/>
      </c>
      <c r="D19" s="15">
        <f>IF(Input!$B$13="","",Input!$B$13&amp;" "&amp;IF(OR(Input!$B$13="CFR",Input!$B$13="CIF"),Input!$B$16,Input!$B$15))</f>
        <v/>
      </c>
      <c r="E19" s="15">
        <f>IF(Input!$B$21="","",Input!$B$21&amp;" days")</f>
        <v/>
      </c>
      <c r="F19" s="15">
        <f>IF(Input!$B$20="","",Input!$B$20)</f>
        <v/>
      </c>
      <c r="G19" s="15">
        <f>IF(Input!$B$14="","",Input!$B$14)</f>
        <v/>
      </c>
    </row>
    <row r="20">
      <c r="A20" s="15">
        <f>IFERROR(Tiers!A10,"")</f>
        <v/>
      </c>
      <c r="B20" s="21">
        <f>IF(Tiers!E10=0,"",Tiers!E10)</f>
        <v/>
      </c>
      <c r="C20" s="21">
        <f>IF(Tiers!F10=0,"",Tiers!F10)</f>
        <v/>
      </c>
      <c r="D20" s="15">
        <f>IF(Input!$B$13="","",Input!$B$13&amp;" "&amp;IF(OR(Input!$B$13="CFR",Input!$B$13="CIF"),Input!$B$16,Input!$B$15))</f>
        <v/>
      </c>
      <c r="E20" s="15">
        <f>IF(Input!$B$21="","",Input!$B$21&amp;" days")</f>
        <v/>
      </c>
      <c r="F20" s="15">
        <f>IF(Input!$B$20="","",Input!$B$20)</f>
        <v/>
      </c>
      <c r="G20" s="15">
        <f>IF(Input!$B$14="","",Input!$B$14)</f>
        <v/>
      </c>
    </row>
    <row r="21">
      <c r="A21" s="212" t="n"/>
      <c r="B21" s="212" t="n"/>
      <c r="C21" s="212" t="n"/>
      <c r="D21" s="212" t="n"/>
      <c r="E21" s="212" t="n"/>
      <c r="F21" s="212" t="n"/>
      <c r="G21" s="212" t="n"/>
    </row>
    <row r="22">
      <c r="A22" s="212" t="n"/>
      <c r="B22" s="212" t="n"/>
      <c r="C22" s="212" t="n"/>
      <c r="D22" s="212" t="n"/>
      <c r="E22" s="212" t="n"/>
      <c r="F22" s="212" t="n"/>
      <c r="G22" s="212" t="n"/>
    </row>
    <row r="23">
      <c r="A23" s="216" t="inlineStr">
        <is>
          <t>Terms</t>
        </is>
      </c>
      <c r="B23" s="189" t="n"/>
      <c r="C23" s="189" t="n"/>
      <c r="D23" s="189" t="n"/>
      <c r="E23" s="189" t="n"/>
      <c r="F23" s="189" t="n"/>
      <c r="G23" s="189" t="n"/>
    </row>
    <row r="24">
      <c r="A24" s="212" t="inlineStr">
        <is>
          <t>1. Prices are valid within quotation validity and subject to final order confirmation. DDP requires a separate landed-cost quotation.</t>
        </is>
      </c>
      <c r="B24" s="189" t="n"/>
      <c r="C24" s="189" t="n"/>
      <c r="D24" s="189" t="n"/>
      <c r="E24" s="189" t="n"/>
      <c r="F24" s="189" t="n"/>
      <c r="G24" s="189" t="n"/>
    </row>
    <row r="25">
      <c r="A25" s="212" t="inlineStr">
        <is>
          <t>2. Customer version only shows sales prices and trade terms. Internal costs are excluded.</t>
        </is>
      </c>
      <c r="B25" s="189" t="n"/>
      <c r="C25" s="189" t="n"/>
      <c r="D25" s="189" t="n"/>
      <c r="E25" s="189" t="n"/>
      <c r="F25" s="189" t="n"/>
      <c r="G25" s="189" t="n"/>
    </row>
    <row r="26">
      <c r="A26" s="212" t="inlineStr">
        <is>
          <t>3. Payment and delivery terms can be adjusted in this sheet before printing if needed.</t>
        </is>
      </c>
      <c r="B26" s="189" t="n"/>
      <c r="C26" s="189" t="n"/>
      <c r="D26" s="189" t="n"/>
      <c r="E26" s="189" t="n"/>
      <c r="F26" s="189" t="n"/>
      <c r="G26" s="189" t="n"/>
    </row>
    <row r="27">
      <c r="A27" s="212" t="inlineStr">
        <is>
          <t>4. Please confirm artwork, certification and packing requirements before mass production.</t>
        </is>
      </c>
      <c r="B27" s="189" t="n"/>
      <c r="C27" s="189" t="n"/>
      <c r="D27" s="189" t="n"/>
      <c r="E27" s="189" t="n"/>
      <c r="F27" s="189" t="n"/>
      <c r="G27" s="189" t="n"/>
    </row>
    <row r="33" customFormat="1" s="189"/>
    <row r="34" customFormat="1" s="189"/>
    <row r="35" customFormat="1" s="189"/>
    <row r="36" customFormat="1" s="189"/>
    <row r="37" customFormat="1" s="189"/>
    <row r="38" customFormat="1" s="189"/>
    <row r="39" customFormat="1" s="189"/>
    <row r="40" customFormat="1" s="189"/>
  </sheetData>
  <mergeCells count="9">
    <mergeCell ref="A1:G1"/>
    <mergeCell ref="A27:G27"/>
    <mergeCell ref="A3:G3"/>
    <mergeCell ref="A26:G26"/>
    <mergeCell ref="A24:G24"/>
    <mergeCell ref="A2:G2"/>
    <mergeCell ref="A15:G15"/>
    <mergeCell ref="A25:G25"/>
    <mergeCell ref="A23:G23"/>
  </mergeCells>
  <pageMargins left="0.7" right="0.7" top="0.75" bottom="0.75" header="0.3" footer="0.3"/>
</worksheet>
</file>

<file path=xl/worksheets/sheet8.xml><?xml version="1.0" encoding="utf-8"?>
<worksheet xmlns="http://schemas.openxmlformats.org/spreadsheetml/2006/main">
  <sheetPr>
    <tabColor rgb="FFED7D31"/>
    <outlinePr summaryBelow="1" summaryRight="1"/>
    <pageSetUpPr/>
  </sheetPr>
  <dimension ref="A1:H46"/>
  <sheetViews>
    <sheetView showGridLines="0" workbookViewId="0">
      <pane ySplit="19" topLeftCell="A20" activePane="bottomLeft" state="frozen"/>
      <selection pane="bottomLeft" activeCell="A1" sqref="A1:H1"/>
    </sheetView>
  </sheetViews>
  <sheetFormatPr baseColWidth="8" defaultColWidth="8.6328125" defaultRowHeight="14"/>
  <cols>
    <col width="20.1796875" customWidth="1" style="189" min="1" max="1"/>
    <col width="17.453125" customWidth="1" style="189" min="2" max="4"/>
    <col width="20.1796875" customWidth="1" style="189" min="5" max="5"/>
    <col width="18.81640625" customWidth="1" style="189" min="6" max="6"/>
    <col width="28.90625" customWidth="1" style="189" min="7" max="7"/>
    <col width="16.1796875" customWidth="1" style="189" min="8" max="8"/>
    <col width="8.6328125" customWidth="1" style="189" min="9" max="17"/>
    <col width="8.6328125" customWidth="1" style="189" min="18" max="16384"/>
  </cols>
  <sheetData>
    <row r="1" ht="25.5" customHeight="1" s="197">
      <c r="A1" s="209" t="inlineStr">
        <is>
          <t>内部核价表</t>
        </is>
      </c>
      <c r="B1" s="189" t="n"/>
      <c r="C1" s="189" t="n"/>
      <c r="D1" s="189" t="n"/>
      <c r="E1" s="189" t="n"/>
      <c r="F1" s="189" t="n"/>
      <c r="G1" s="189" t="n"/>
      <c r="H1" s="189" t="n"/>
    </row>
    <row r="2">
      <c r="A2" s="217" t="inlineStr">
        <is>
          <t>内部查看页：本体成本可直接填；包装、人工、损耗、间接费、物流可自动计算或手动覆盖。客户版不显示这些内部口径。</t>
        </is>
      </c>
      <c r="B2" s="189" t="n"/>
      <c r="C2" s="189" t="n"/>
      <c r="D2" s="189" t="n"/>
      <c r="E2" s="189" t="n"/>
      <c r="F2" s="189" t="n"/>
      <c r="G2" s="189" t="n"/>
      <c r="H2" s="189" t="n"/>
    </row>
    <row r="3">
      <c r="A3" s="206" t="inlineStr">
        <is>
          <t>核心价格治理</t>
        </is>
      </c>
      <c r="B3" s="189" t="n"/>
      <c r="C3" s="189" t="n"/>
      <c r="D3" s="189" t="n"/>
      <c r="E3" s="54" t="n"/>
      <c r="F3" s="218" t="inlineStr">
        <is>
          <t>关键配件价格</t>
        </is>
      </c>
      <c r="G3" s="189" t="n"/>
      <c r="H3" s="189" t="n"/>
    </row>
    <row r="4" ht="28" customHeight="1" s="197">
      <c r="A4" s="92" t="inlineStr">
        <is>
          <t>报价基准成本 RMB/件</t>
        </is>
      </c>
      <c r="B4" s="97">
        <f>IFERROR(BOM!$F$17,"")</f>
        <v/>
      </c>
      <c r="C4" s="215" t="inlineStr">
        <is>
          <t>报价币种成本/件</t>
        </is>
      </c>
      <c r="D4" s="254">
        <f>IFERROR(BOM!$F$18,"")</f>
        <v/>
      </c>
      <c r="E4" s="54" t="n"/>
      <c r="F4" s="215" t="inlineStr">
        <is>
          <t>项目</t>
        </is>
      </c>
      <c r="G4" s="215" t="inlineStr">
        <is>
          <t>系统参考</t>
        </is>
      </c>
      <c r="H4" s="215" t="inlineStr">
        <is>
          <t>最终/型号</t>
        </is>
      </c>
    </row>
    <row r="5" ht="28" customHeight="1" s="197">
      <c r="A5" s="92" t="inlineStr">
        <is>
          <t>报价币种正式报价/件</t>
        </is>
      </c>
      <c r="B5" s="254">
        <f>IFERROR(BOM!$F$19,"")</f>
        <v/>
      </c>
      <c r="C5" s="215" t="inlineStr">
        <is>
          <t>订单总额 USD</t>
        </is>
      </c>
      <c r="D5" s="254">
        <f>IFERROR(BOM!$F$19*Input!$B$11,"")</f>
        <v/>
      </c>
      <c r="E5" s="54" t="n"/>
      <c r="F5" s="215" t="inlineStr">
        <is>
          <t>盖板档次</t>
        </is>
      </c>
      <c r="G5" s="215">
        <f>IFERROR(Input!F11,"")</f>
        <v/>
      </c>
      <c r="H5" s="215">
        <f>IFERROR(Input!E11,"")</f>
        <v/>
      </c>
    </row>
    <row r="6">
      <c r="A6" s="92" t="inlineStr">
        <is>
          <t>当前净毛利率</t>
        </is>
      </c>
      <c r="B6" s="91">
        <f>IFERROR(BOM!$F$22,"")</f>
        <v/>
      </c>
      <c r="C6" s="91" t="inlineStr">
        <is>
          <t>销售额预留合计</t>
        </is>
      </c>
      <c r="D6" s="91">
        <f>IFERROR(Input!$B$24+Input!$B$25+Input!$B$26,"")</f>
        <v/>
      </c>
      <c r="E6" s="54" t="n"/>
      <c r="F6" s="215" t="inlineStr">
        <is>
          <t>盖板型号/备注</t>
        </is>
      </c>
      <c r="G6" s="215">
        <f>IFERROR(Input!F10,"")</f>
        <v/>
      </c>
      <c r="H6" s="215">
        <f>IFERROR(Input!E10,"")</f>
        <v/>
      </c>
    </row>
    <row r="7">
      <c r="A7" s="92" t="inlineStr">
        <is>
          <t>自产目标毛利率</t>
        </is>
      </c>
      <c r="B7" s="99">
        <f>IFERROR(Input!$B$22,"")</f>
        <v/>
      </c>
      <c r="C7" s="99" t="inlineStr">
        <is>
          <t>外购目标毛利率</t>
        </is>
      </c>
      <c r="D7" s="99">
        <f>IFERROR(Input!$B$28,"")</f>
        <v/>
      </c>
      <c r="E7" s="54" t="n"/>
      <c r="F7" s="215" t="inlineStr">
        <is>
          <t>盖板FOB进仓价</t>
        </is>
      </c>
      <c r="G7" s="18">
        <f>IFERROR(Input!F11,"")</f>
        <v/>
      </c>
      <c r="H7" s="18">
        <f>IFERROR(IF(Input!G11="",Input!F11,Input!G11),"")</f>
        <v/>
      </c>
    </row>
    <row r="8">
      <c r="A8" s="92" t="inlineStr">
        <is>
          <t>审批状态</t>
        </is>
      </c>
      <c r="B8" s="100">
        <f>IF(OR(Input!$B$6="",Input!$B$7="",Input!$B$9="",Input!$B$10="",Input!$B$11="",Input!$B$12="",Input!$B$13="",Input!$B$15="",Input!$B$16="",Input!$B$17="",Input!$B$18="",Input!$B$20="",Input!$B$21="",Input!$B$22="",Input!$B$23="",Input!$B$24="",Input!$B$25="",Input!$B$26="",Input!$B$27="",Input!$B$28="",Input!$E$29="",Input!$E$30="",N(Input!$B$11)&lt;=0,N(Input!$B$18)&lt;=0,N(Input!$B$20)&lt;=0,N(Input!$B$21)&lt;=0,Input!$B$13="DDP",IF(Input!$G$44="是",OR(N(Input!$E$45)&lt;=0,AND(N(Input!$G$45)&lt;=0,OR(Input!$E$22="",Input!$E$23="",Input!$E$24="",Input!$E$25="",Input!$E$26="",N(Input!$E$22)&lt;=0,N(Input!$E$23)&lt;=0,N(Input!$E$24)&lt;=0,N(Input!$E$25)&lt;=0,N(Input!$E$26)&lt;=0))),OR(Input!$E$22="",Input!$E$23="",Input!$E$24="",Input!$E$25="",Input!$E$26="",N(Input!$E$22)&lt;=0,N(Input!$E$23)&lt;=0,N(Input!$E$24)&lt;=0,N(Input!$E$25)&lt;=0,N(Input!$E$26)&lt;=0)),AND(OR(Input!$B$9="分体马桶",Input!$B$9="连体马桶",Input!$B$9="挂墙马桶"),Input!$E$9=""),AND(OR(Input!$B$9="分体马桶",Input!$B$9="连体马桶",Input!$B$9="挂墙马桶"),Input!$G$44&lt;&gt;"是",Input!$E$9="是",OR(Input!$E$11="",Input!$E$12="")),AND(OR(Input!$B$9="台上盆",Input!$B$9="台下盆",Input!$B$9="立柱盆/半柱盆"),Input!$E$19="")),"待填写",IF(B5&lt;D11,"需特批",IF(B5&lt;B11,"需审批","可提交")))</f>
        <v/>
      </c>
      <c r="C8" s="99" t="inlineStr">
        <is>
          <t>底线净毛利率</t>
        </is>
      </c>
      <c r="D8" s="99">
        <f>IFERROR(Input!$B$23,"")</f>
        <v/>
      </c>
      <c r="E8" s="54" t="n"/>
      <c r="F8" s="215" t="inlineStr">
        <is>
          <t>铰链要求</t>
        </is>
      </c>
      <c r="G8" s="215">
        <f>IFERROR(Input!F12,"")</f>
        <v/>
      </c>
      <c r="H8" s="215">
        <f>IFERROR(Input!E12,"")</f>
        <v/>
      </c>
    </row>
    <row r="9">
      <c r="A9" s="92" t="inlineStr">
        <is>
          <t>条款物流 RMB/件</t>
        </is>
      </c>
      <c r="B9" s="97">
        <f>IFERROR(BOM!$F$16,"")</f>
        <v/>
      </c>
      <c r="C9" s="215" t="inlineStr">
        <is>
          <t>柜数</t>
        </is>
      </c>
      <c r="D9" s="93">
        <f>IFERROR(Tiers!$D$3,"")</f>
        <v/>
      </c>
      <c r="E9" s="54" t="n"/>
      <c r="F9" s="215" t="inlineStr">
        <is>
          <t>铰链FOB进仓加价</t>
        </is>
      </c>
      <c r="G9" s="18">
        <f>IFERROR(Input!F12,"")</f>
        <v/>
      </c>
      <c r="H9" s="18">
        <f>IFERROR(IF(Input!G12="",Input!F12,Input!G12),"")</f>
        <v/>
      </c>
    </row>
    <row r="10">
      <c r="A10" s="92" t="inlineStr">
        <is>
          <t>装柜量</t>
        </is>
      </c>
      <c r="B10" s="93">
        <f>IFERROR(Tiers!$B$3,"")</f>
        <v/>
      </c>
      <c r="C10" s="215" t="inlineStr">
        <is>
          <t>汇率</t>
        </is>
      </c>
      <c r="D10" s="93">
        <f>IFERROR(Input!$B$18,"")</f>
        <v/>
      </c>
      <c r="E10" s="54" t="n"/>
      <c r="F10" s="215" t="inlineStr">
        <is>
          <t>盖板计价单价</t>
        </is>
      </c>
      <c r="G10" s="18">
        <f>IFERROR(Input!F13,"")</f>
        <v/>
      </c>
      <c r="H10" s="18">
        <f>IFERROR(Input!G13,"")</f>
        <v/>
      </c>
    </row>
    <row r="11" ht="28" customHeight="1" s="197">
      <c r="A11" s="92" t="inlineStr">
        <is>
          <t>审批价/报价币种</t>
        </is>
      </c>
      <c r="B11" s="254">
        <f>IFERROR(IF(BOM!$F$19=0,"",IF(Input!$B$17="RMB",BOM!$F$17/(1-Input!$B$23-0.03)/(1-(Input!$B$24+Input!$B$25+Input!$B$26)),BOM!$F$17/(1-Input!$B$23-0.03)/(1-(Input!$B$24+Input!$B$25+Input!$B$26))/Input!$B$18)),"")</f>
        <v/>
      </c>
      <c r="C11" s="254" t="inlineStr">
        <is>
          <t>底线价/报价币种</t>
        </is>
      </c>
      <c r="D11" s="254">
        <f>IFERROR(IF(BOM!$F$19=0,"",IF(Input!$B$17="RMB",BOM!$F$17/(1-Input!$B$23)/(1-(Input!$B$24+Input!$B$25+Input!$B$26)),BOM!$F$17/(1-Input!$B$23)/(1-(Input!$B$24+Input!$B$25+Input!$B$26))/Input!$B$18)),"")</f>
        <v/>
      </c>
      <c r="E11" s="54" t="n"/>
      <c r="F11" s="215" t="inlineStr">
        <is>
          <t>水件/五金FOB进仓价</t>
        </is>
      </c>
      <c r="G11" s="18">
        <f>IFERROR(Input!F14,"")</f>
        <v/>
      </c>
      <c r="H11" s="18">
        <f>IFERROR(Input!G15,"")</f>
        <v/>
      </c>
    </row>
    <row r="12" ht="28" customHeight="1" s="197">
      <c r="A12" s="92" t="inlineStr">
        <is>
          <t>佣金 RMB/件</t>
        </is>
      </c>
      <c r="B12" s="97">
        <f>IFERROR(BOM!$F$20*Input!$B$24,"")</f>
        <v/>
      </c>
      <c r="C12" s="97" t="inlineStr">
        <is>
          <t>售后 RMB/件</t>
        </is>
      </c>
      <c r="D12" s="97">
        <f>IFERROR(BOM!$F$20*Input!$B$25,"")</f>
        <v/>
      </c>
      <c r="E12" s="54" t="n"/>
      <c r="F12" s="215" t="inlineStr">
        <is>
          <t>下水/安装件FOB进仓价</t>
        </is>
      </c>
      <c r="G12" s="18">
        <f>IFERROR(Input!F20,"")</f>
        <v/>
      </c>
      <c r="H12" s="18">
        <f>IFERROR(Input!G21,"")</f>
        <v/>
      </c>
    </row>
    <row r="13" ht="28" customHeight="1" s="197">
      <c r="A13" s="92" t="inlineStr">
        <is>
          <t>汇率风险 RMB/件</t>
        </is>
      </c>
      <c r="B13" s="97">
        <f>IFERROR(BOM!$F$20*Input!$B$26,"")</f>
        <v/>
      </c>
      <c r="C13" s="97" t="inlineStr">
        <is>
          <t>目标净毛利 RMB/件</t>
        </is>
      </c>
      <c r="D13" s="97">
        <f>IFERROR(BOM!$F$21,"")</f>
        <v/>
      </c>
      <c r="E13" s="54" t="n"/>
      <c r="F13" s="19" t="inlineStr">
        <is>
          <t>盖板外箱尺寸</t>
        </is>
      </c>
      <c r="G13" s="19">
        <f>Input!G34</f>
        <v/>
      </c>
      <c r="H13" s="19">
        <f>Packing!$B$68</f>
        <v/>
      </c>
    </row>
    <row r="14">
      <c r="A14" s="92" t="inlineStr">
        <is>
          <t>客户</t>
        </is>
      </c>
      <c r="B14" s="215">
        <f>IFERROR(Input!$B$6,"")</f>
        <v/>
      </c>
      <c r="C14" s="215" t="inlineStr">
        <is>
          <t>型号</t>
        </is>
      </c>
      <c r="D14" s="215">
        <f>IFERROR(Input!$B$10,"")</f>
        <v/>
      </c>
      <c r="E14" s="54" t="n"/>
      <c r="F14" s="19" t="inlineStr">
        <is>
          <t>盖板装柜量</t>
        </is>
      </c>
      <c r="G14" s="19">
        <f>Packing!$B$64</f>
        <v/>
      </c>
      <c r="H14" s="19">
        <f>Packing!$B$65</f>
        <v/>
      </c>
    </row>
    <row r="15">
      <c r="A15" s="92" t="inlineStr">
        <is>
          <t>品类</t>
        </is>
      </c>
      <c r="B15" s="215">
        <f>IFERROR(Input!$B$9,"")</f>
        <v/>
      </c>
      <c r="C15" s="215" t="inlineStr">
        <is>
          <t>数量</t>
        </is>
      </c>
      <c r="D15" s="215">
        <f>IFERROR(Input!$B$11,"")</f>
        <v/>
      </c>
      <c r="E15" s="54" t="n"/>
      <c r="F15" s="19" t="inlineStr">
        <is>
          <t>盖板参考物流</t>
        </is>
      </c>
      <c r="G15" s="19">
        <f>Packing!$B$66</f>
        <v/>
      </c>
      <c r="H15" s="19">
        <f>Packing!$B$66</f>
        <v/>
      </c>
    </row>
    <row r="16" ht="42" customHeight="1" s="197">
      <c r="A16" s="92" t="inlineStr">
        <is>
          <t>备注</t>
        </is>
      </c>
      <c r="B16" s="215" t="inlineStr">
        <is>
          <t>低于底线价需特批；低于审批价建议常规审批；DDP须专案核价。</t>
        </is>
      </c>
      <c r="C16" s="215" t="n"/>
      <c r="D16" s="215" t="n"/>
      <c r="E16" s="54" t="n"/>
      <c r="F16" s="19" t="inlineStr">
        <is>
          <t>盖板物流报价处理</t>
        </is>
      </c>
      <c r="G16" s="19">
        <f>Input!$E$34</f>
        <v/>
      </c>
      <c r="H16" s="19" t="inlineStr">
        <is>
          <t>不计入报价（FOB进仓价已含）</t>
        </is>
      </c>
    </row>
    <row r="17">
      <c r="A17" s="101" t="inlineStr">
        <is>
          <t>包装尺寸</t>
        </is>
      </c>
      <c r="B17" s="215">
        <f>IFERROR(TEXT(Packing!$B$18,"0")&amp;" x "&amp;TEXT(Packing!$B$19,"0")&amp;" x "&amp;TEXT(Packing!$B$20,"0")&amp;" mm","")</f>
        <v/>
      </c>
      <c r="C17" s="215" t="inlineStr">
        <is>
          <t>装柜限制</t>
        </is>
      </c>
      <c r="D17" s="215">
        <f>IFERROR(Packing!$B$37,"")</f>
        <v/>
      </c>
      <c r="E17" s="54" t="n"/>
      <c r="F17" s="54" t="n"/>
      <c r="G17" s="54" t="n"/>
      <c r="H17" s="54" t="n"/>
    </row>
    <row r="18">
      <c r="A18" s="102" t="inlineStr">
        <is>
          <t>自产/本体成本/件</t>
        </is>
      </c>
      <c r="B18" s="52">
        <f>IFERROR(SUM(BOM!$F$5:$F$6)+SUM(BOM!$F$12:$F$15),"")</f>
        <v/>
      </c>
      <c r="C18" s="103" t="inlineStr">
        <is>
          <t>自产毛利率</t>
        </is>
      </c>
      <c r="D18" s="53">
        <f>IFERROR(Input!$B$22,"")</f>
        <v/>
      </c>
      <c r="E18" s="56" t="inlineStr">
        <is>
          <t>外购成本/件</t>
        </is>
      </c>
      <c r="F18" s="52">
        <f>IFERROR(SUM(BOM!$F$7:$F$11),"")</f>
        <v/>
      </c>
      <c r="G18" s="56" t="inlineStr">
        <is>
          <t>外购毛利率</t>
        </is>
      </c>
      <c r="H18" s="53">
        <f>IFERROR(Input!$B$28,"")</f>
        <v/>
      </c>
    </row>
    <row r="19">
      <c r="A19" s="206" t="inlineStr">
        <is>
          <t>成本拆分</t>
        </is>
      </c>
      <c r="B19" s="189" t="n"/>
      <c r="C19" s="189" t="n"/>
      <c r="D19" s="189" t="n"/>
      <c r="E19" s="189" t="n"/>
      <c r="F19" s="189" t="n"/>
      <c r="G19" s="189" t="n"/>
      <c r="H19" s="189" t="n"/>
    </row>
    <row r="20">
      <c r="A20" s="84" t="inlineStr">
        <is>
          <t>成本层级</t>
        </is>
      </c>
      <c r="B20" s="84" t="inlineStr">
        <is>
          <t>项目</t>
        </is>
      </c>
      <c r="C20" s="84" t="inlineStr">
        <is>
          <t>单位</t>
        </is>
      </c>
      <c r="D20" s="84" t="inlineStr">
        <is>
          <t>数量/件</t>
        </is>
      </c>
      <c r="E20" s="84" t="inlineStr">
        <is>
          <t>单价/参数</t>
        </is>
      </c>
      <c r="F20" s="84" t="inlineStr">
        <is>
          <t>RMB/件</t>
        </is>
      </c>
      <c r="G20" s="84" t="inlineStr">
        <is>
          <t>订单总额 RMB</t>
        </is>
      </c>
      <c r="H20" s="84" t="inlineStr">
        <is>
          <t>备注</t>
        </is>
      </c>
    </row>
    <row r="21" ht="28" customHeight="1" s="197">
      <c r="A21" s="8">
        <f>IFERROR(BOM!A5,"")</f>
        <v/>
      </c>
      <c r="B21" s="8">
        <f>IFERROR(BOM!B5,"")</f>
        <v/>
      </c>
      <c r="C21" s="8">
        <f>IFERROR(BOM!C5,"")</f>
        <v/>
      </c>
      <c r="D21" s="8">
        <f>IFERROR(BOM!D5,"")</f>
        <v/>
      </c>
      <c r="E21" s="10">
        <f>IFERROR(BOM!E5,"")</f>
        <v/>
      </c>
      <c r="F21" s="10">
        <f>IFERROR(BOM!F5,"")</f>
        <v/>
      </c>
      <c r="G21" s="10">
        <f>IFERROR(BOM!G5,"")</f>
        <v/>
      </c>
      <c r="H21" s="8">
        <f>IFERROR(BOM!H5,"")</f>
        <v/>
      </c>
    </row>
    <row r="22" ht="28" customHeight="1" s="197">
      <c r="A22" s="8">
        <f>IFERROR(BOM!A6,"")</f>
        <v/>
      </c>
      <c r="B22" s="8">
        <f>IFERROR(BOM!B6,"")</f>
        <v/>
      </c>
      <c r="C22" s="8">
        <f>IFERROR(BOM!C6,"")</f>
        <v/>
      </c>
      <c r="D22" s="8">
        <f>IFERROR(BOM!D6,"")</f>
        <v/>
      </c>
      <c r="E22" s="10">
        <f>IFERROR(BOM!E6,"")</f>
        <v/>
      </c>
      <c r="F22" s="10">
        <f>IFERROR(BOM!F6,"")</f>
        <v/>
      </c>
      <c r="G22" s="10">
        <f>IFERROR(BOM!G6,"")</f>
        <v/>
      </c>
      <c r="H22" s="8">
        <f>IFERROR(BOM!H6,"")</f>
        <v/>
      </c>
    </row>
    <row r="23" ht="42" customHeight="1" s="197">
      <c r="A23" s="8">
        <f>IFERROR(BOM!A7,"")</f>
        <v/>
      </c>
      <c r="B23" s="8">
        <f>IFERROR(BOM!B7,"")</f>
        <v/>
      </c>
      <c r="C23" s="8">
        <f>IFERROR(BOM!C7,"")</f>
        <v/>
      </c>
      <c r="D23" s="8">
        <f>IFERROR(BOM!D7,"")</f>
        <v/>
      </c>
      <c r="E23" s="10">
        <f>IFERROR(BOM!E7,"")</f>
        <v/>
      </c>
      <c r="F23" s="10">
        <f>IFERROR(BOM!F7,"")</f>
        <v/>
      </c>
      <c r="G23" s="10">
        <f>IFERROR(BOM!G7,"")</f>
        <v/>
      </c>
      <c r="H23" s="8">
        <f>IFERROR(BOM!H7,"")</f>
        <v/>
      </c>
    </row>
    <row r="24" ht="42" customHeight="1" s="197">
      <c r="A24" s="8">
        <f>IFERROR(BOM!A8,"")</f>
        <v/>
      </c>
      <c r="B24" s="8">
        <f>IFERROR(BOM!B8,"")</f>
        <v/>
      </c>
      <c r="C24" s="8">
        <f>IFERROR(BOM!C8,"")</f>
        <v/>
      </c>
      <c r="D24" s="8">
        <f>IFERROR(BOM!D8,"")</f>
        <v/>
      </c>
      <c r="E24" s="10">
        <f>IFERROR(BOM!E8,"")</f>
        <v/>
      </c>
      <c r="F24" s="10">
        <f>IFERROR(BOM!F8,"")</f>
        <v/>
      </c>
      <c r="G24" s="10">
        <f>IFERROR(BOM!G8,"")</f>
        <v/>
      </c>
      <c r="H24" s="8">
        <f>IFERROR(BOM!H8,"")</f>
        <v/>
      </c>
    </row>
    <row r="25" ht="56" customHeight="1" s="197">
      <c r="A25" s="8">
        <f>IFERROR(BOM!A9,"")</f>
        <v/>
      </c>
      <c r="B25" s="8">
        <f>IFERROR(BOM!B9,"")</f>
        <v/>
      </c>
      <c r="C25" s="8">
        <f>IFERROR(BOM!C9,"")</f>
        <v/>
      </c>
      <c r="D25" s="8">
        <f>IFERROR(BOM!D9,"")</f>
        <v/>
      </c>
      <c r="E25" s="10">
        <f>IFERROR(BOM!E9,"")</f>
        <v/>
      </c>
      <c r="F25" s="10">
        <f>IFERROR(BOM!F9,"")</f>
        <v/>
      </c>
      <c r="G25" s="10">
        <f>IFERROR(BOM!G9,"")</f>
        <v/>
      </c>
      <c r="H25" s="8">
        <f>IFERROR(BOM!H9,"")</f>
        <v/>
      </c>
    </row>
    <row r="26" ht="42" customHeight="1" s="197">
      <c r="A26" s="8">
        <f>IFERROR(BOM!A10,"")</f>
        <v/>
      </c>
      <c r="B26" s="8">
        <f>IFERROR(BOM!B10,"")</f>
        <v/>
      </c>
      <c r="C26" s="8">
        <f>IFERROR(BOM!C10,"")</f>
        <v/>
      </c>
      <c r="D26" s="8">
        <f>IFERROR(BOM!D10,"")</f>
        <v/>
      </c>
      <c r="E26" s="10">
        <f>IFERROR(BOM!E10,"")</f>
        <v/>
      </c>
      <c r="F26" s="10">
        <f>IFERROR(BOM!F10,"")</f>
        <v/>
      </c>
      <c r="G26" s="10">
        <f>IFERROR(BOM!G10,"")</f>
        <v/>
      </c>
      <c r="H26" s="8">
        <f>IFERROR(BOM!H10,"")</f>
        <v/>
      </c>
    </row>
    <row r="27" ht="42" customHeight="1" s="197">
      <c r="A27" s="8">
        <f>IFERROR(BOM!A11,"")</f>
        <v/>
      </c>
      <c r="B27" s="8">
        <f>IFERROR(BOM!B11,"")</f>
        <v/>
      </c>
      <c r="C27" s="8">
        <f>IFERROR(BOM!C11,"")</f>
        <v/>
      </c>
      <c r="D27" s="8">
        <f>IFERROR(BOM!D11,"")</f>
        <v/>
      </c>
      <c r="E27" s="10">
        <f>IFERROR(BOM!E11,"")</f>
        <v/>
      </c>
      <c r="F27" s="10">
        <f>IFERROR(BOM!F11,"")</f>
        <v/>
      </c>
      <c r="G27" s="10">
        <f>IFERROR(BOM!G11,"")</f>
        <v/>
      </c>
      <c r="H27" s="8">
        <f>IFERROR(BOM!H11,"")</f>
        <v/>
      </c>
    </row>
    <row r="28">
      <c r="A28" s="8">
        <f>IFERROR(BOM!A12,"")</f>
        <v/>
      </c>
      <c r="B28" s="8">
        <f>IFERROR(BOM!B12,"")</f>
        <v/>
      </c>
      <c r="C28" s="8">
        <f>IFERROR(BOM!C12,"")</f>
        <v/>
      </c>
      <c r="D28" s="8">
        <f>IFERROR(BOM!D12,"")</f>
        <v/>
      </c>
      <c r="E28" s="10">
        <f>IFERROR(BOM!E12,"")</f>
        <v/>
      </c>
      <c r="F28" s="10">
        <f>IFERROR(BOM!F12,"")</f>
        <v/>
      </c>
      <c r="G28" s="10">
        <f>IFERROR(BOM!G12,"")</f>
        <v/>
      </c>
      <c r="H28" s="8">
        <f>IFERROR(BOM!H12,"")</f>
        <v/>
      </c>
    </row>
    <row r="29" ht="28" customHeight="1" s="197">
      <c r="A29" s="8">
        <f>IFERROR(BOM!A13,"")</f>
        <v/>
      </c>
      <c r="B29" s="8">
        <f>IFERROR(BOM!B13,"")</f>
        <v/>
      </c>
      <c r="C29" s="8">
        <f>IFERROR(BOM!C13,"")</f>
        <v/>
      </c>
      <c r="D29" s="8">
        <f>IFERROR(BOM!D13,"")</f>
        <v/>
      </c>
      <c r="E29" s="10">
        <f>IFERROR(BOM!E13,"")</f>
        <v/>
      </c>
      <c r="F29" s="10">
        <f>IFERROR(BOM!F13,"")</f>
        <v/>
      </c>
      <c r="G29" s="10">
        <f>IFERROR(BOM!G13,"")</f>
        <v/>
      </c>
      <c r="H29" s="8">
        <f>IFERROR(BOM!H13,"")</f>
        <v/>
      </c>
    </row>
    <row r="30" ht="28" customHeight="1" s="197">
      <c r="A30" s="8">
        <f>IFERROR(BOM!A14,"")</f>
        <v/>
      </c>
      <c r="B30" s="8">
        <f>IFERROR(BOM!B14,"")</f>
        <v/>
      </c>
      <c r="C30" s="8">
        <f>IFERROR(BOM!C14,"")</f>
        <v/>
      </c>
      <c r="D30" s="8">
        <f>IFERROR(BOM!D14,"")</f>
        <v/>
      </c>
      <c r="E30" s="10">
        <f>IFERROR(BOM!E14,"")</f>
        <v/>
      </c>
      <c r="F30" s="10">
        <f>IFERROR(BOM!F14,"")</f>
        <v/>
      </c>
      <c r="G30" s="10">
        <f>IFERROR(BOM!G14,"")</f>
        <v/>
      </c>
      <c r="H30" s="8">
        <f>IFERROR(BOM!H14,"")</f>
        <v/>
      </c>
    </row>
    <row r="31" ht="28" customHeight="1" s="197">
      <c r="A31" s="8">
        <f>IFERROR(BOM!A15,"")</f>
        <v/>
      </c>
      <c r="B31" s="8">
        <f>IFERROR(BOM!B15,"")</f>
        <v/>
      </c>
      <c r="C31" s="8">
        <f>IFERROR(BOM!C15,"")</f>
        <v/>
      </c>
      <c r="D31" s="8">
        <f>IFERROR(BOM!D15,"")</f>
        <v/>
      </c>
      <c r="E31" s="10">
        <f>IFERROR(BOM!E15,"")</f>
        <v/>
      </c>
      <c r="F31" s="10">
        <f>IFERROR(BOM!F15,"")</f>
        <v/>
      </c>
      <c r="G31" s="10">
        <f>IFERROR(BOM!G15,"")</f>
        <v/>
      </c>
      <c r="H31" s="8">
        <f>IFERROR(BOM!H15,"")</f>
        <v/>
      </c>
    </row>
    <row r="32" ht="70" customHeight="1" s="197">
      <c r="A32" s="8">
        <f>IFERROR(BOM!A16,"")</f>
        <v/>
      </c>
      <c r="B32" s="8">
        <f>IFERROR(BOM!B16,"")</f>
        <v/>
      </c>
      <c r="C32" s="8">
        <f>IFERROR(BOM!C16,"")</f>
        <v/>
      </c>
      <c r="D32" s="8">
        <f>IFERROR(BOM!D16,"")</f>
        <v/>
      </c>
      <c r="E32" s="10">
        <f>IFERROR(BOM!E16,"")</f>
        <v/>
      </c>
      <c r="F32" s="10">
        <f>IFERROR(BOM!F16,"")</f>
        <v/>
      </c>
      <c r="G32" s="10">
        <f>IFERROR(BOM!G16,"")</f>
        <v/>
      </c>
      <c r="H32" s="8">
        <f>IFERROR(BOM!H16,"")</f>
        <v/>
      </c>
    </row>
    <row r="33" ht="28" customHeight="1" s="197">
      <c r="A33" s="8">
        <f>IFERROR(BOM!A17,"")</f>
        <v/>
      </c>
      <c r="B33" s="8">
        <f>IFERROR(BOM!B17,"")</f>
        <v/>
      </c>
      <c r="C33" s="8">
        <f>IFERROR(BOM!C17,"")</f>
        <v/>
      </c>
      <c r="D33" s="8">
        <f>IFERROR(BOM!D17,"")</f>
        <v/>
      </c>
      <c r="E33" s="10">
        <f>IFERROR(BOM!E17,"")</f>
        <v/>
      </c>
      <c r="F33" s="10">
        <f>IFERROR(BOM!F17,"")</f>
        <v/>
      </c>
      <c r="G33" s="10">
        <f>IFERROR(BOM!G17,"")</f>
        <v/>
      </c>
      <c r="H33" s="8">
        <f>IFERROR(BOM!H17,"")</f>
        <v/>
      </c>
    </row>
    <row r="34" ht="42" customHeight="1" s="197">
      <c r="A34" s="8">
        <f>IFERROR(BOM!A18,"")</f>
        <v/>
      </c>
      <c r="B34" s="8">
        <f>IFERROR(BOM!B18,"")</f>
        <v/>
      </c>
      <c r="C34" s="8">
        <f>IFERROR(BOM!C18,"")</f>
        <v/>
      </c>
      <c r="D34" s="8">
        <f>IFERROR(BOM!D18,"")</f>
        <v/>
      </c>
      <c r="E34" s="10">
        <f>IFERROR(BOM!E18,"")</f>
        <v/>
      </c>
      <c r="F34" s="10">
        <f>IFERROR(BOM!F18,"")</f>
        <v/>
      </c>
      <c r="G34" s="10">
        <f>IFERROR(BOM!G18,"")</f>
        <v/>
      </c>
      <c r="H34" s="8">
        <f>IFERROR(BOM!H18,"")</f>
        <v/>
      </c>
    </row>
    <row r="35" ht="42" customHeight="1" s="197">
      <c r="A35" s="8">
        <f>IFERROR(BOM!A19,"")</f>
        <v/>
      </c>
      <c r="B35" s="8">
        <f>IFERROR(BOM!B19,"")</f>
        <v/>
      </c>
      <c r="C35" s="8">
        <f>IFERROR(BOM!C19,"")</f>
        <v/>
      </c>
      <c r="D35" s="8">
        <f>IFERROR(BOM!D19,"")</f>
        <v/>
      </c>
      <c r="E35" s="10">
        <f>IFERROR(BOM!E19,"")</f>
        <v/>
      </c>
      <c r="F35" s="10">
        <f>IFERROR(BOM!F19,"")</f>
        <v/>
      </c>
      <c r="G35" s="10">
        <f>IFERROR(BOM!G19,"")</f>
        <v/>
      </c>
      <c r="H35" s="8">
        <f>IFERROR(BOM!H19,"")</f>
        <v/>
      </c>
    </row>
    <row r="36" ht="28" customHeight="1" s="197">
      <c r="A36" s="8">
        <f>IFERROR(BOM!A20,"")</f>
        <v/>
      </c>
      <c r="B36" s="8">
        <f>IFERROR(BOM!B20,"")</f>
        <v/>
      </c>
      <c r="C36" s="8">
        <f>IFERROR(BOM!C20,"")</f>
        <v/>
      </c>
      <c r="D36" s="8">
        <f>IFERROR(BOM!D20,"")</f>
        <v/>
      </c>
      <c r="E36" s="10">
        <f>IFERROR(BOM!E20,"")</f>
        <v/>
      </c>
      <c r="F36" s="10">
        <f>IFERROR(BOM!F20,"")</f>
        <v/>
      </c>
      <c r="G36" s="10">
        <f>IFERROR(BOM!G20,"")</f>
        <v/>
      </c>
      <c r="H36" s="8">
        <f>IFERROR(BOM!H20,"")</f>
        <v/>
      </c>
    </row>
    <row r="37" ht="28" customHeight="1" s="197">
      <c r="A37" s="8">
        <f>IFERROR(BOM!A21,"")</f>
        <v/>
      </c>
      <c r="B37" s="8">
        <f>IFERROR(BOM!B21,"")</f>
        <v/>
      </c>
      <c r="C37" s="8">
        <f>IFERROR(BOM!C21,"")</f>
        <v/>
      </c>
      <c r="D37" s="8">
        <f>IFERROR(BOM!D21,"")</f>
        <v/>
      </c>
      <c r="E37" s="10">
        <f>IFERROR(BOM!E21,"")</f>
        <v/>
      </c>
      <c r="F37" s="10">
        <f>IFERROR(BOM!F21,"")</f>
        <v/>
      </c>
      <c r="G37" s="10">
        <f>IFERROR(BOM!G21,"")</f>
        <v/>
      </c>
      <c r="H37" s="8">
        <f>IFERROR(BOM!H21,"")</f>
        <v/>
      </c>
    </row>
    <row r="38" ht="28" customHeight="1" s="197">
      <c r="A38" s="8">
        <f>IFERROR(BOM!A22,"")</f>
        <v/>
      </c>
      <c r="B38" s="8">
        <f>IFERROR(BOM!B22,"")</f>
        <v/>
      </c>
      <c r="C38" s="8">
        <f>IFERROR(BOM!C22,"")</f>
        <v/>
      </c>
      <c r="D38" s="8">
        <f>IFERROR(BOM!D22,"")</f>
        <v/>
      </c>
      <c r="E38" s="10">
        <f>IFERROR(BOM!E22,"")</f>
        <v/>
      </c>
      <c r="F38" s="20">
        <f>IFERROR(BOM!F22,"")</f>
        <v/>
      </c>
      <c r="G38" s="20">
        <f>IFERROR(BOM!G22,"")</f>
        <v/>
      </c>
      <c r="H38" s="8">
        <f>IFERROR(BOM!H22,"")</f>
        <v/>
      </c>
    </row>
    <row r="39">
      <c r="A39" s="54" t="n"/>
      <c r="B39" s="54" t="n"/>
      <c r="C39" s="54" t="n"/>
      <c r="D39" s="54" t="n"/>
      <c r="E39" s="54" t="n"/>
      <c r="F39" s="54" t="n"/>
      <c r="G39" s="54" t="n"/>
      <c r="H39" s="54" t="n"/>
    </row>
    <row r="40">
      <c r="A40" s="54" t="n"/>
      <c r="B40" s="54" t="n"/>
      <c r="C40" s="54" t="n"/>
      <c r="D40" s="54" t="n"/>
      <c r="E40" s="54" t="n"/>
      <c r="F40" s="54" t="n"/>
      <c r="G40" s="54" t="n"/>
      <c r="H40" s="54" t="n"/>
    </row>
    <row r="41">
      <c r="A41" s="206" t="inlineStr">
        <is>
          <t>数量阶梯</t>
        </is>
      </c>
      <c r="B41" s="189" t="n"/>
      <c r="C41" s="189" t="n"/>
      <c r="D41" s="189" t="n"/>
      <c r="E41" s="189" t="n"/>
      <c r="F41" s="189" t="n"/>
      <c r="G41" s="189" t="n"/>
      <c r="H41" s="189" t="n"/>
    </row>
    <row r="42" ht="28" customHeight="1" s="197">
      <c r="A42" s="215">
        <f>IFERROR(Tiers!A6,"")</f>
        <v/>
      </c>
      <c r="B42" s="215">
        <f>IFERROR(Tiers!B6,"")</f>
        <v/>
      </c>
      <c r="C42" s="215">
        <f>IFERROR(Tiers!C6,"")</f>
        <v/>
      </c>
      <c r="D42" s="215">
        <f>IFERROR(Tiers!D6,"")</f>
        <v/>
      </c>
      <c r="E42" s="215">
        <f>IFERROR(Tiers!E6,"")</f>
        <v/>
      </c>
      <c r="F42" s="215">
        <f>IFERROR(Tiers!F6,"")</f>
        <v/>
      </c>
      <c r="G42" s="215">
        <f>IFERROR(Tiers!G6,"")</f>
        <v/>
      </c>
      <c r="H42" s="54" t="n"/>
    </row>
    <row r="43">
      <c r="A43" s="15">
        <f>IFERROR(Tiers!A7,"")</f>
        <v/>
      </c>
      <c r="B43" s="15">
        <f>IFERROR(Tiers!B7,"")</f>
        <v/>
      </c>
      <c r="C43" s="21">
        <f>IFERROR(Tiers!C7,"")</f>
        <v/>
      </c>
      <c r="D43" s="21">
        <f>IFERROR(Tiers!D7,"")</f>
        <v/>
      </c>
      <c r="E43" s="255">
        <f>IFERROR(Tiers!E7,"")</f>
        <v/>
      </c>
      <c r="F43" s="255">
        <f>IFERROR(Tiers!F7,"")</f>
        <v/>
      </c>
      <c r="G43" s="15">
        <f>IFERROR(Tiers!G7,"")</f>
        <v/>
      </c>
      <c r="H43" s="54" t="n"/>
    </row>
    <row r="44">
      <c r="A44" s="15">
        <f>IFERROR(Tiers!A8,"")</f>
        <v/>
      </c>
      <c r="B44" s="15">
        <f>IFERROR(Tiers!B8,"")</f>
        <v/>
      </c>
      <c r="C44" s="21">
        <f>IFERROR(Tiers!C8,"")</f>
        <v/>
      </c>
      <c r="D44" s="21">
        <f>IFERROR(Tiers!D8,"")</f>
        <v/>
      </c>
      <c r="E44" s="255">
        <f>IFERROR(Tiers!E8,"")</f>
        <v/>
      </c>
      <c r="F44" s="255">
        <f>IFERROR(Tiers!F8,"")</f>
        <v/>
      </c>
      <c r="G44" s="15">
        <f>IFERROR(Tiers!G8,"")</f>
        <v/>
      </c>
      <c r="H44" s="54" t="n"/>
    </row>
    <row r="45">
      <c r="A45" s="15">
        <f>IFERROR(Tiers!A9,"")</f>
        <v/>
      </c>
      <c r="B45" s="15">
        <f>IFERROR(Tiers!B9,"")</f>
        <v/>
      </c>
      <c r="C45" s="21">
        <f>IFERROR(Tiers!C9,"")</f>
        <v/>
      </c>
      <c r="D45" s="21">
        <f>IFERROR(Tiers!D9,"")</f>
        <v/>
      </c>
      <c r="E45" s="255">
        <f>IFERROR(Tiers!E9,"")</f>
        <v/>
      </c>
      <c r="F45" s="255">
        <f>IFERROR(Tiers!F9,"")</f>
        <v/>
      </c>
      <c r="G45" s="15">
        <f>IFERROR(Tiers!G9,"")</f>
        <v/>
      </c>
      <c r="H45" s="54" t="n"/>
    </row>
    <row r="46">
      <c r="A46" s="15">
        <f>IFERROR(Tiers!A10,"")</f>
        <v/>
      </c>
      <c r="B46" s="15">
        <f>IFERROR(Tiers!B10,"")</f>
        <v/>
      </c>
      <c r="C46" s="21">
        <f>IFERROR(Tiers!C10,"")</f>
        <v/>
      </c>
      <c r="D46" s="21">
        <f>IFERROR(Tiers!D10,"")</f>
        <v/>
      </c>
      <c r="E46" s="255">
        <f>IFERROR(Tiers!E10,"")</f>
        <v/>
      </c>
      <c r="F46" s="255">
        <f>IFERROR(Tiers!F10,"")</f>
        <v/>
      </c>
      <c r="G46" s="15">
        <f>IFERROR(Tiers!G10,"")</f>
        <v/>
      </c>
      <c r="H46" s="54" t="n"/>
    </row>
  </sheetData>
  <sheetProtection selectLockedCells="0" selectUnlockedCells="0" sheet="1" objects="0" insertRows="1" insertHyperlinks="1" autoFilter="1" scenarios="0" formatColumns="1" deleteColumns="1" insertColumns="1" pivotTables="1" deleteRows="1" formatCells="1" formatRows="1" sort="1"/>
  <mergeCells count="6">
    <mergeCell ref="A2:H2"/>
    <mergeCell ref="A3:D3"/>
    <mergeCell ref="A41:H41"/>
    <mergeCell ref="A19:H19"/>
    <mergeCell ref="A1:H1"/>
    <mergeCell ref="F3:H3"/>
  </mergeCells>
  <pageMargins left="0.7" right="0.7" top="0.75" bottom="0.75" header="0.3" footer="0.3"/>
</worksheet>
</file>

<file path=xl/worksheets/sheet9.xml><?xml version="1.0" encoding="utf-8"?>
<worksheet xmlns="http://schemas.openxmlformats.org/spreadsheetml/2006/main">
  <sheetPr>
    <tabColor rgb="FFA5A5A5"/>
    <outlinePr summaryBelow="1" summaryRight="1"/>
    <pageSetUpPr/>
  </sheetPr>
  <dimension ref="A1:S48"/>
  <sheetViews>
    <sheetView workbookViewId="0">
      <pane ySplit="8" topLeftCell="A9" activePane="bottomLeft" state="frozen"/>
      <selection pane="bottomLeft" activeCell="A1" sqref="A1:S1"/>
    </sheetView>
  </sheetViews>
  <sheetFormatPr baseColWidth="8" defaultColWidth="8.6328125" defaultRowHeight="14"/>
  <cols>
    <col width="19" customWidth="1" style="189" min="1" max="1"/>
    <col width="36" customWidth="1" style="189" min="2" max="2"/>
    <col width="12" customWidth="1" style="189" min="3" max="3"/>
    <col width="14" customWidth="1" style="189" min="4" max="4"/>
    <col width="15" customWidth="1" style="189" min="5" max="5"/>
    <col width="20" customWidth="1" style="189" min="6" max="6"/>
    <col width="8" customWidth="1" style="189" min="7" max="7"/>
    <col width="7" customWidth="1" style="189" min="8" max="8"/>
    <col width="11" customWidth="1" style="189" min="9" max="9"/>
    <col width="13" customWidth="1" style="189" min="10" max="17"/>
    <col width="14" customWidth="1" style="189" min="18" max="18"/>
    <col width="32" customWidth="1" style="189" min="19" max="19"/>
    <col width="8.6328125" customWidth="1" style="189" min="20" max="28"/>
    <col width="8.6328125" customWidth="1" style="189" min="29" max="16384"/>
  </cols>
  <sheetData>
    <row r="1" ht="20" customHeight="1" s="197">
      <c r="A1" s="227" t="inlineStr">
        <is>
          <t>旧版过渡报价表 / Legacy Cost Model - 新版逻辑同步</t>
        </is>
      </c>
      <c r="B1" s="189" t="n"/>
      <c r="C1" s="189" t="n"/>
      <c r="D1" s="189" t="n"/>
      <c r="E1" s="189" t="n"/>
      <c r="F1" s="189" t="n"/>
      <c r="G1" s="189" t="n"/>
      <c r="H1" s="189" t="n"/>
      <c r="I1" s="189" t="n"/>
      <c r="J1" s="189" t="n"/>
      <c r="K1" s="189" t="n"/>
      <c r="L1" s="189" t="n"/>
      <c r="M1" s="189" t="n"/>
      <c r="N1" s="189" t="n"/>
      <c r="O1" s="189" t="n"/>
      <c r="P1" s="189" t="n"/>
      <c r="Q1" s="189" t="n"/>
      <c r="R1" s="189" t="n"/>
      <c r="S1" s="189" t="n"/>
    </row>
    <row r="2">
      <c r="A2" s="230" t="inlineStr">
        <is>
          <t>旧版同事可继续使用：J列为新版模型自动结果；K-O黄色区域可手填旧表多版本成本；P/Q黄色单元格可改毛利率；橙色提示为草算风险。</t>
        </is>
      </c>
      <c r="B2" s="189" t="n"/>
      <c r="C2" s="189" t="n"/>
      <c r="D2" s="189" t="n"/>
      <c r="E2" s="189" t="n"/>
      <c r="F2" s="189" t="n"/>
      <c r="G2" s="189" t="n"/>
      <c r="H2" s="189" t="n"/>
      <c r="I2" s="189" t="n"/>
      <c r="J2" s="189" t="n"/>
      <c r="K2" s="189" t="n"/>
      <c r="L2" s="189" t="n"/>
      <c r="M2" s="189" t="n"/>
      <c r="N2" s="189" t="n"/>
      <c r="O2" s="189" t="n"/>
      <c r="P2" s="189" t="n"/>
      <c r="Q2" s="189" t="n"/>
      <c r="R2" s="189" t="n"/>
      <c r="S2" s="189" t="n"/>
    </row>
    <row r="3" ht="22" customHeight="1" s="197">
      <c r="A3" s="22" t="inlineStr">
        <is>
          <t>Customer / Project 客户/项目</t>
        </is>
      </c>
      <c r="B3" s="22">
        <f>IFERROR(Input!$B$6&amp;IF(Input!$B$7="",""," / "&amp;Input!$B$7),"")</f>
        <v/>
      </c>
      <c r="C3" s="23" t="n"/>
      <c r="D3" s="23" t="inlineStr">
        <is>
          <t>Photo:</t>
        </is>
      </c>
      <c r="E3" s="225" t="inlineStr">
        <is>
          <t>产品图片粘贴区
Paste photo here</t>
        </is>
      </c>
      <c r="F3" s="189" t="n"/>
      <c r="G3" s="23" t="n"/>
      <c r="H3" s="23" t="n"/>
      <c r="I3" s="23" t="n"/>
      <c r="J3" s="23" t="n"/>
      <c r="K3" s="24" t="inlineStr">
        <is>
          <t>报价状态</t>
        </is>
      </c>
      <c r="L3" s="25">
        <f>Input!$I$16</f>
        <v/>
      </c>
      <c r="M3" s="24" t="inlineStr">
        <is>
          <t>客户</t>
        </is>
      </c>
      <c r="N3" s="219">
        <f>IFERROR(Input!$B$6,"")</f>
        <v/>
      </c>
      <c r="O3" s="219" t="n"/>
      <c r="P3" s="24" t="inlineStr">
        <is>
          <t>报价币种</t>
        </is>
      </c>
      <c r="Q3" s="219">
        <f>IFERROR(Input!$B$17,"")</f>
        <v/>
      </c>
      <c r="R3" s="24" t="inlineStr">
        <is>
          <t>汇率</t>
        </is>
      </c>
      <c r="S3" s="219">
        <f>IFERROR(Input!$B$18,"")</f>
        <v/>
      </c>
    </row>
    <row r="4" ht="22" customHeight="1" s="197">
      <c r="A4" s="22" t="inlineStr">
        <is>
          <t>Factory SKU# 工厂款号</t>
        </is>
      </c>
      <c r="B4" s="22">
        <f>IFERROR(Input!$B$10,"")</f>
        <v/>
      </c>
      <c r="C4" s="23" t="n"/>
      <c r="D4" s="23" t="n"/>
      <c r="E4" s="189" t="n"/>
      <c r="F4" s="189" t="n"/>
      <c r="G4" s="23" t="n"/>
      <c r="H4" s="23" t="n"/>
      <c r="I4" s="23" t="n"/>
      <c r="J4" s="23" t="n"/>
      <c r="K4" s="24" t="inlineStr">
        <is>
          <t>订单数量</t>
        </is>
      </c>
      <c r="L4" s="219">
        <f>IFERROR(Input!$B$11,"")</f>
        <v/>
      </c>
      <c r="M4" s="24" t="inlineStr">
        <is>
          <t>MOQ</t>
        </is>
      </c>
      <c r="N4" s="219">
        <f>IFERROR(Input!$B$20,"")</f>
        <v/>
      </c>
      <c r="O4" s="219" t="n"/>
      <c r="P4" s="24" t="inlineStr">
        <is>
          <t>报价/件</t>
        </is>
      </c>
      <c r="Q4" s="219">
        <f>IF(CustomerQuote!$B$12="","",BOM!$F$19)</f>
        <v/>
      </c>
      <c r="R4" s="24" t="inlineStr">
        <is>
          <t>订单总额</t>
        </is>
      </c>
      <c r="S4" s="219">
        <f>IF(CustomerQuote!$B$12="","",BOM!$F$19*Input!$B$11)</f>
        <v/>
      </c>
    </row>
    <row r="5" ht="22" customHeight="1" s="197">
      <c r="A5" s="22" t="inlineStr">
        <is>
          <t>Description 品名</t>
        </is>
      </c>
      <c r="B5" s="22">
        <f>IFERROR(Input!$B$9&amp;IF(Input!$E$9="是"," / "&amp;Input!$E$11&amp;" / "&amp;Input!$E$10,"")&amp;IF(AND(Input!$E$19="是",OR(Input!$B$9="台上盆",Input!$B$9="台下盆",Input!$B$9="立柱盆/半柱盆"))," / 含下水安装件",""),"")</f>
        <v/>
      </c>
      <c r="C5" s="23" t="n"/>
      <c r="D5" s="23" t="n"/>
      <c r="E5" s="189" t="n"/>
      <c r="F5" s="189" t="n"/>
      <c r="G5" s="23" t="n"/>
      <c r="H5" s="23" t="n"/>
      <c r="I5" s="23" t="n"/>
      <c r="J5" s="23" t="n"/>
      <c r="K5" s="24" t="inlineStr">
        <is>
          <t>装柜量</t>
        </is>
      </c>
      <c r="L5" s="219">
        <f>IF(CustomerQuote!$B$12="","",Input!$I$11)</f>
        <v/>
      </c>
      <c r="M5" s="24" t="inlineStr">
        <is>
          <t>柜数</t>
        </is>
      </c>
      <c r="N5" s="219">
        <f>IF(CustomerQuote!$B$12="","",Input!$I$12)</f>
        <v/>
      </c>
      <c r="O5" s="219" t="n"/>
      <c r="P5" s="24" t="inlineStr">
        <is>
          <t>底线价</t>
        </is>
      </c>
      <c r="Q5" s="219">
        <f>IF(CustomerQuote!$B$12="","",Input!$I$9)</f>
        <v/>
      </c>
      <c r="R5" s="24" t="inlineStr">
        <is>
          <t>审批价</t>
        </is>
      </c>
      <c r="S5" s="219">
        <f>IF(CustomerQuote!$B$12="","",Input!$I$10)</f>
        <v/>
      </c>
    </row>
    <row r="6" ht="22" customHeight="1" s="197">
      <c r="A6" s="22" t="inlineStr">
        <is>
          <t>Incoterm 报价方式</t>
        </is>
      </c>
      <c r="B6" s="22">
        <f>IFERROR(Input!$B$13&amp;" "&amp;IF(OR(Input!$B$13="CFR",Input!$B$13="CIF"),Input!$B$16,Input!$B$15),"")</f>
        <v/>
      </c>
      <c r="C6" s="23" t="n"/>
      <c r="D6" s="23" t="n"/>
      <c r="E6" s="189" t="n"/>
      <c r="F6" s="189" t="n"/>
      <c r="G6" s="23" t="n"/>
      <c r="H6" s="23" t="n"/>
      <c r="I6" s="23" t="n"/>
      <c r="J6" s="23" t="n"/>
      <c r="K6" s="24" t="inlineStr">
        <is>
          <t>包装尺寸</t>
        </is>
      </c>
      <c r="L6" s="219">
        <f>IF(CustomerQuote!$B$12="","",Input!$G$27)</f>
        <v/>
      </c>
      <c r="M6" s="24" t="inlineStr">
        <is>
          <t>装柜测算</t>
        </is>
      </c>
      <c r="N6" s="219">
        <f>IF(CustomerQuote!$B$12="","",Input!$G$28)</f>
        <v/>
      </c>
      <c r="O6" s="219" t="n"/>
      <c r="P6" s="24" t="inlineStr">
        <is>
          <t>贸易口径</t>
        </is>
      </c>
      <c r="Q6" s="219">
        <f>IFERROR(Input!$B$14,"")</f>
        <v/>
      </c>
      <c r="R6" s="24" t="inlineStr">
        <is>
          <t>有效期</t>
        </is>
      </c>
      <c r="S6" s="219">
        <f>IFERROR(Input!$B$19&amp;" days","")</f>
        <v/>
      </c>
    </row>
    <row r="7" ht="22" customHeight="1" s="197">
      <c r="A7" s="22" t="inlineStr">
        <is>
          <t>Date 核价日期</t>
        </is>
      </c>
      <c r="B7" s="27">
        <f>IF(Input!$B$4="","",Input!$B$4)</f>
        <v/>
      </c>
      <c r="C7" s="23" t="n"/>
      <c r="D7" s="23" t="n"/>
      <c r="E7" s="189" t="n"/>
      <c r="F7" s="189" t="n"/>
      <c r="G7" s="23" t="n"/>
      <c r="H7" s="23" t="n"/>
      <c r="I7" s="23" t="n"/>
      <c r="J7" s="23" t="n"/>
      <c r="K7" s="24" t="inlineStr">
        <is>
          <t>重量</t>
        </is>
      </c>
      <c r="L7" s="219">
        <f>IFERROR(Input!$E$25&amp;" kg","")</f>
        <v/>
      </c>
      <c r="M7" s="24" t="inlineStr">
        <is>
          <t>当前毛利率</t>
        </is>
      </c>
      <c r="N7" s="256">
        <f>IF(CustomerQuote!$B$12="","",Input!$I$8)</f>
        <v/>
      </c>
      <c r="O7" s="219" t="n"/>
      <c r="P7" s="24" t="inlineStr">
        <is>
          <t>Margin 1</t>
        </is>
      </c>
      <c r="Q7" s="24" t="inlineStr">
        <is>
          <t>Margin 2</t>
        </is>
      </c>
      <c r="R7" s="24" t="inlineStr">
        <is>
          <t>盖板参考物流</t>
        </is>
      </c>
      <c r="S7" s="219">
        <f>IFERROR(IF(Packing!$B$66=0,"不计入",Packing!$B$66),"")</f>
        <v/>
      </c>
    </row>
    <row r="8" ht="22" customHeight="1" s="197">
      <c r="A8" s="23" t="n"/>
      <c r="B8" s="23" t="n"/>
      <c r="C8" s="23" t="n"/>
      <c r="D8" s="23" t="n"/>
      <c r="E8" s="23" t="n"/>
      <c r="F8" s="23" t="n"/>
      <c r="G8" s="23" t="n"/>
      <c r="H8" s="23" t="n"/>
      <c r="I8" s="23" t="n"/>
      <c r="J8" s="23" t="n"/>
      <c r="K8" s="24" t="n"/>
      <c r="L8" s="219" t="n"/>
      <c r="M8" s="24" t="n"/>
      <c r="N8" s="219" t="n"/>
      <c r="O8" s="219" t="n"/>
      <c r="P8" s="257">
        <f>IFERROR(Input!$B$22,"")</f>
        <v/>
      </c>
      <c r="Q8" s="258">
        <f>IFERROR(Input!$B$23,"")</f>
        <v/>
      </c>
      <c r="R8" s="49" t="inlineStr">
        <is>
          <t>草算提示</t>
        </is>
      </c>
      <c r="S8" s="49">
        <f>IF(Input!$B$13="DDP","DDP需专案核价，禁止自动外发",IF(Input!$I$16="待填写","资料未完整，K-O仅供内部草算，禁止外发",IFERROR(Packing!$B$68,"")))</f>
        <v/>
      </c>
    </row>
    <row r="9" ht="22" customHeight="1" s="197">
      <c r="A9" s="29" t="inlineStr">
        <is>
          <t>Key Categories 成本类别</t>
        </is>
      </c>
      <c r="B9" s="29" t="inlineStr">
        <is>
          <t>Key Inputs / Material 项目</t>
        </is>
      </c>
      <c r="C9" s="29" t="inlineStr">
        <is>
          <t>GD code 内部编号</t>
        </is>
      </c>
      <c r="D9" s="29" t="inlineStr">
        <is>
          <t>Vendor name 供应商名字</t>
        </is>
      </c>
      <c r="E9" s="29" t="inlineStr">
        <is>
          <t>Vendor product code 供应商产品编号</t>
        </is>
      </c>
      <c r="F9" s="29" t="inlineStr">
        <is>
          <t>Key spec 主要规格</t>
        </is>
      </c>
      <c r="G9" s="29" t="inlineStr">
        <is>
          <t>Unit 数量单位</t>
        </is>
      </c>
      <c r="H9" s="29" t="inlineStr">
        <is>
          <t>Qty 数量</t>
        </is>
      </c>
      <c r="I9" s="29" t="inlineStr">
        <is>
          <t>unit price 单价</t>
        </is>
      </c>
      <c r="J9" s="29" t="inlineStr">
        <is>
          <t>新版自动 RMB/件</t>
        </is>
      </c>
      <c r="K9" s="29" t="inlineStr">
        <is>
          <t>v1 手动成本</t>
        </is>
      </c>
      <c r="L9" s="29" t="inlineStr">
        <is>
          <t>v2 手动成本</t>
        </is>
      </c>
      <c r="M9" s="29" t="inlineStr">
        <is>
          <t>V3 手动成本</t>
        </is>
      </c>
      <c r="N9" s="29" t="inlineStr">
        <is>
          <t>V4 手动成本</t>
        </is>
      </c>
      <c r="O9" s="29" t="inlineStr">
        <is>
          <t>V5 手动成本</t>
        </is>
      </c>
      <c r="P9" s="29" t="inlineStr">
        <is>
          <t>Margin 1 售价</t>
        </is>
      </c>
      <c r="Q9" s="29" t="inlineStr">
        <is>
          <t>Margin 2 售价</t>
        </is>
      </c>
      <c r="R9" s="29" t="inlineStr">
        <is>
          <t>旧表备注</t>
        </is>
      </c>
      <c r="S9" s="29" t="inlineStr">
        <is>
          <t>新版来源/说明</t>
        </is>
      </c>
    </row>
    <row r="10" ht="22" customHeight="1" s="197">
      <c r="A10" s="219" t="inlineStr">
        <is>
          <t>VC cost陶瓷成本</t>
        </is>
      </c>
      <c r="B10" s="219" t="inlineStr">
        <is>
          <t>Tank/cistern lid 水箱盖</t>
        </is>
      </c>
      <c r="C10" s="219" t="n"/>
      <c r="D10" s="219" t="n"/>
      <c r="E10" s="219" t="n"/>
      <c r="F10" s="219" t="n"/>
      <c r="G10" s="219">
        <f>IF(J10=0,"",IF(OR(10=16,10=17,10=21),"套",IF(OR(10=30,10=31),"率","件")))</f>
        <v/>
      </c>
      <c r="H10" s="219">
        <f>IF(J10=0,"",1)</f>
        <v/>
      </c>
      <c r="I10" s="219">
        <f>IFERROR(IF(H10="","",J10/H10),"")</f>
        <v/>
      </c>
      <c r="J10" s="30">
        <f>IFERROR(IF(Input!$B$9="分体马桶",(BOM!$F$5+BOM!$F$6)*0.15,0),0)</f>
        <v/>
      </c>
      <c r="K10" s="50">
        <f>IFERROR(J10,"")</f>
        <v/>
      </c>
      <c r="L10" s="50">
        <f>IFERROR(J10,"")</f>
        <v/>
      </c>
      <c r="M10" s="50">
        <f>IFERROR(J10,"")</f>
        <v/>
      </c>
      <c r="N10" s="50">
        <f>IFERROR(J10,"")</f>
        <v/>
      </c>
      <c r="O10" s="50">
        <f>IFERROR(J10,"")</f>
        <v/>
      </c>
      <c r="P10" s="31" t="n"/>
      <c r="Q10" s="31" t="n"/>
      <c r="R10" s="219" t="n"/>
      <c r="S10" s="32" t="inlineStr">
        <is>
          <t>分体马桶按水箱盖/水箱/座便器拆分；连体按水箱/座便器拆分。</t>
        </is>
      </c>
    </row>
    <row r="11" ht="22" customHeight="1" s="197">
      <c r="A11" s="224" t="n"/>
      <c r="B11" s="219" t="inlineStr">
        <is>
          <t>Tank/cistern 水箱</t>
        </is>
      </c>
      <c r="C11" s="219" t="n"/>
      <c r="D11" s="219" t="n"/>
      <c r="E11" s="219" t="n"/>
      <c r="F11" s="219" t="n"/>
      <c r="G11" s="219">
        <f>IF(J11=0,"",IF(OR(11=16,11=17,11=21),"套",IF(OR(11=30,11=31),"率","件")))</f>
        <v/>
      </c>
      <c r="H11" s="219">
        <f>IF(J11=0,"",1)</f>
        <v/>
      </c>
      <c r="I11" s="219">
        <f>IFERROR(IF(H11="","",J11/H11),"")</f>
        <v/>
      </c>
      <c r="J11" s="30">
        <f>IFERROR(IF(Input!$B$9="分体马桶",(BOM!$F$5+BOM!$F$6)*0.35,IF(Input!$B$9="连体马桶",(BOM!$F$5+BOM!$F$6)*0.35,0)),0)</f>
        <v/>
      </c>
      <c r="K11" s="50">
        <f>IFERROR(J11,"")</f>
        <v/>
      </c>
      <c r="L11" s="50">
        <f>IFERROR(J11,"")</f>
        <v/>
      </c>
      <c r="M11" s="50">
        <f>IFERROR(J11,"")</f>
        <v/>
      </c>
      <c r="N11" s="50">
        <f>IFERROR(J11,"")</f>
        <v/>
      </c>
      <c r="O11" s="50">
        <f>IFERROR(J11,"")</f>
        <v/>
      </c>
      <c r="P11" s="31" t="n"/>
      <c r="Q11" s="31" t="n"/>
      <c r="R11" s="219" t="n"/>
      <c r="S11" s="32" t="inlineStr">
        <is>
          <t>旧版展示拆分，不改变新版 BOM 总成本。</t>
        </is>
      </c>
    </row>
    <row r="12" ht="22" customHeight="1" s="197">
      <c r="A12" s="224" t="n"/>
      <c r="B12" s="219" t="inlineStr">
        <is>
          <t>toilet bowl/pan 马桶</t>
        </is>
      </c>
      <c r="C12" s="219" t="n"/>
      <c r="D12" s="219" t="n"/>
      <c r="E12" s="219" t="n"/>
      <c r="F12" s="219" t="n"/>
      <c r="G12" s="219">
        <f>IF(J12=0,"",IF(OR(12=16,12=17,12=21),"套",IF(OR(12=30,12=31),"率","件")))</f>
        <v/>
      </c>
      <c r="H12" s="219">
        <f>IF(J12=0,"",1)</f>
        <v/>
      </c>
      <c r="I12" s="219">
        <f>IFERROR(IF(H12="","",J12/H12),"")</f>
        <v/>
      </c>
      <c r="J12" s="30">
        <f>IFERROR(IF(OR(Input!$B$9="分体马桶",Input!$B$9="连体马桶",Input!$B$9="挂墙马桶"),(BOM!$F$5+BOM!$F$6)-J10-J11,0),0)</f>
        <v/>
      </c>
      <c r="K12" s="50">
        <f>IFERROR(J12,"")</f>
        <v/>
      </c>
      <c r="L12" s="50">
        <f>IFERROR(J12,"")</f>
        <v/>
      </c>
      <c r="M12" s="50">
        <f>IFERROR(J12,"")</f>
        <v/>
      </c>
      <c r="N12" s="50">
        <f>IFERROR(J12,"")</f>
        <v/>
      </c>
      <c r="O12" s="50">
        <f>IFERROR(J12,"")</f>
        <v/>
      </c>
      <c r="P12" s="31" t="n"/>
      <c r="Q12" s="31" t="n"/>
      <c r="R12" s="219" t="n"/>
      <c r="S12" s="32" t="inlineStr">
        <is>
          <t>K列默认复制J列作为v1。</t>
        </is>
      </c>
    </row>
    <row r="13" ht="22" customHeight="1" s="197">
      <c r="A13" s="224" t="n"/>
      <c r="B13" s="219" t="inlineStr">
        <is>
          <t>basin/sink 盆</t>
        </is>
      </c>
      <c r="C13" s="219" t="n"/>
      <c r="D13" s="219" t="n"/>
      <c r="E13" s="219" t="n"/>
      <c r="F13" s="219" t="n"/>
      <c r="G13" s="219">
        <f>IF(J13=0,"",IF(OR(13=16,13=17,13=21),"套",IF(OR(13=30,13=31),"率","件")))</f>
        <v/>
      </c>
      <c r="H13" s="219">
        <f>IF(J13=0,"",1)</f>
        <v/>
      </c>
      <c r="I13" s="219">
        <f>IFERROR(IF(H13="","",J13/H13),"")</f>
        <v/>
      </c>
      <c r="J13" s="30">
        <f>IFERROR(IF(OR(Input!$B$9="台上盆",Input!$B$9="台下盆"),BOM!$F$5+BOM!$F$6,IF(Input!$B$9="立柱盆/半柱盆",(BOM!$F$5+BOM!$F$6)*0.65,0)),0)</f>
        <v/>
      </c>
      <c r="K13" s="50">
        <f>IFERROR(J13,"")</f>
        <v/>
      </c>
      <c r="L13" s="50">
        <f>IFERROR(J13,"")</f>
        <v/>
      </c>
      <c r="M13" s="50">
        <f>IFERROR(J13,"")</f>
        <v/>
      </c>
      <c r="N13" s="50">
        <f>IFERROR(J13,"")</f>
        <v/>
      </c>
      <c r="O13" s="50">
        <f>IFERROR(J13,"")</f>
        <v/>
      </c>
      <c r="P13" s="31" t="n"/>
      <c r="Q13" s="31" t="n"/>
      <c r="R13" s="219" t="n"/>
      <c r="S13" s="32" t="inlineStr">
        <is>
          <t>L-O可手动填旧表多版本价，不影响Input/BOM。</t>
        </is>
      </c>
    </row>
    <row r="14" ht="22" customHeight="1" s="197">
      <c r="A14" s="224" t="n"/>
      <c r="B14" s="219" t="inlineStr">
        <is>
          <t>Pedestal 立柱</t>
        </is>
      </c>
      <c r="C14" s="219" t="n"/>
      <c r="D14" s="219" t="n"/>
      <c r="E14" s="219" t="n"/>
      <c r="F14" s="219" t="n"/>
      <c r="G14" s="219">
        <f>IF(J14=0,"",IF(OR(14=16,14=17,14=21),"套",IF(OR(14=30,14=31),"率","件")))</f>
        <v/>
      </c>
      <c r="H14" s="219">
        <f>IF(J14=0,"",1)</f>
        <v/>
      </c>
      <c r="I14" s="219">
        <f>IFERROR(IF(H14="","",J14/H14),"")</f>
        <v/>
      </c>
      <c r="J14" s="30">
        <f>IFERROR(IF(Input!$B$9="立柱盆/半柱盆",(BOM!$F$5+BOM!$F$6)*0.35,0),0)</f>
        <v/>
      </c>
      <c r="K14" s="50">
        <f>IFERROR(J14,"")</f>
        <v/>
      </c>
      <c r="L14" s="50">
        <f>IFERROR(J14,"")</f>
        <v/>
      </c>
      <c r="M14" s="50">
        <f>IFERROR(J14,"")</f>
        <v/>
      </c>
      <c r="N14" s="50">
        <f>IFERROR(J14,"")</f>
        <v/>
      </c>
      <c r="O14" s="50">
        <f>IFERROR(J14,"")</f>
        <v/>
      </c>
      <c r="P14" s="31" t="n"/>
      <c r="Q14" s="31" t="n"/>
      <c r="R14" s="219" t="n"/>
      <c r="S14" s="32" t="inlineStr">
        <is>
          <t>P/Q按Margin 1/2给出销售价参考。</t>
        </is>
      </c>
    </row>
    <row r="15" ht="22" customHeight="1" s="197">
      <c r="A15" s="220" t="n"/>
      <c r="B15" s="219" t="inlineStr">
        <is>
          <t>Small order/MOQ surcharge 小单附加</t>
        </is>
      </c>
      <c r="C15" s="219" t="n"/>
      <c r="D15" s="219" t="n"/>
      <c r="E15" s="219" t="n"/>
      <c r="F15" s="219" t="n"/>
      <c r="G15" s="219">
        <f>IF(J15=0,"",IF(OR(15=16,15=17,15=21),"套",IF(OR(15=30,15=31),"率","件")))</f>
        <v/>
      </c>
      <c r="H15" s="219">
        <f>IF(J15=0,"",1)</f>
        <v/>
      </c>
      <c r="I15" s="219">
        <f>IFERROR(IF(H15="","",J15/H15),"")</f>
        <v/>
      </c>
      <c r="J15" s="30">
        <f>IFERROR(BOM!$F$14,0)</f>
        <v/>
      </c>
      <c r="K15" s="50">
        <f>IFERROR(J15,"")</f>
        <v/>
      </c>
      <c r="L15" s="50">
        <f>IFERROR(J15,"")</f>
        <v/>
      </c>
      <c r="M15" s="50">
        <f>IFERROR(J15,"")</f>
        <v/>
      </c>
      <c r="N15" s="50">
        <f>IFERROR(J15,"")</f>
        <v/>
      </c>
      <c r="O15" s="50">
        <f>IFERROR(J15,"")</f>
        <v/>
      </c>
      <c r="P15" s="31" t="n"/>
      <c r="Q15" s="31" t="n"/>
      <c r="R15" s="219" t="n"/>
      <c r="S15" s="32" t="inlineStr">
        <is>
          <t>低于 MOQ 时的小单摊销。</t>
        </is>
      </c>
    </row>
    <row r="16" ht="22" customHeight="1" s="197">
      <c r="A16" s="219" t="inlineStr">
        <is>
          <t>Accessories 配件</t>
        </is>
      </c>
      <c r="B16" s="219" t="inlineStr">
        <is>
          <t>Flush valve 水件</t>
        </is>
      </c>
      <c r="C16" s="219" t="n"/>
      <c r="D16" s="219" t="n"/>
      <c r="E16" s="219" t="n"/>
      <c r="F16" s="219" t="n"/>
      <c r="G16" s="219">
        <f>IF(J16=0,"",IF(OR(16=16,16=17,16=21),"套",IF(OR(16=30,16=31),"率","件")))</f>
        <v/>
      </c>
      <c r="H16" s="219">
        <f>IF(J16=0,"",1)</f>
        <v/>
      </c>
      <c r="I16" s="219">
        <f>IFERROR(IF(H16="","",J16/H16),"")</f>
        <v/>
      </c>
      <c r="J16" s="30">
        <f>IFERROR(BOM!$F$7,0)</f>
        <v/>
      </c>
      <c r="K16" s="50">
        <f>IFERROR(J16,"")</f>
        <v/>
      </c>
      <c r="L16" s="50">
        <f>IFERROR(J16,"")</f>
        <v/>
      </c>
      <c r="M16" s="50">
        <f>IFERROR(J16,"")</f>
        <v/>
      </c>
      <c r="N16" s="50">
        <f>IFERROR(J16,"")</f>
        <v/>
      </c>
      <c r="O16" s="50">
        <f>IFERROR(J16,"")</f>
        <v/>
      </c>
      <c r="P16" s="31" t="n"/>
      <c r="Q16" s="31" t="n"/>
      <c r="R16" s="219" t="n"/>
      <c r="S16" s="32" t="inlineStr">
        <is>
          <t>内部审批建议使用InternalCost。</t>
        </is>
      </c>
    </row>
    <row r="17" ht="22" customHeight="1" s="197">
      <c r="A17" s="224" t="n"/>
      <c r="B17" s="219" t="inlineStr">
        <is>
          <t>Toilet seat 盖板</t>
        </is>
      </c>
      <c r="C17" s="219" t="inlineStr">
        <is>
          <t>待确认</t>
        </is>
      </c>
      <c r="D17" s="219" t="n"/>
      <c r="E17" s="219">
        <f>IFERROR(Input!$E$10,"")</f>
        <v/>
      </c>
      <c r="F17" s="219">
        <f>IFERROR(IF(Input!$E$9="是",Input!$E$11&amp;" / "&amp;Input!$E$12,""),"")</f>
        <v/>
      </c>
      <c r="G17" s="219">
        <f>IF(J17=0,"",IF(OR(17=16,17=17,17=21),"套",IF(OR(17=30,17=31),"率","件")))</f>
        <v/>
      </c>
      <c r="H17" s="219">
        <f>IF(J17=0,"",1)</f>
        <v/>
      </c>
      <c r="I17" s="219">
        <f>IFERROR(IF(H17="","",J17/H17),"")</f>
        <v/>
      </c>
      <c r="J17" s="30">
        <f>IFERROR(BOM!$F$8,0)</f>
        <v/>
      </c>
      <c r="K17" s="50">
        <f>IFERROR(J17,"")</f>
        <v/>
      </c>
      <c r="L17" s="50">
        <f>IFERROR(J17,"")</f>
        <v/>
      </c>
      <c r="M17" s="50">
        <f>IFERROR(J17,"")</f>
        <v/>
      </c>
      <c r="N17" s="50">
        <f>IFERROR(J17,"")</f>
        <v/>
      </c>
      <c r="O17" s="50">
        <f>IFERROR(J17,"")</f>
        <v/>
      </c>
      <c r="P17" s="31" t="n"/>
      <c r="Q17" s="31" t="n"/>
      <c r="R17" s="219" t="n"/>
      <c r="S17" s="219" t="inlineStr">
        <is>
          <t>读取盖板型号、规格和最终单价</t>
        </is>
      </c>
    </row>
    <row r="18" ht="22" customHeight="1" s="197">
      <c r="A18" s="224" t="n"/>
      <c r="B18" s="219" t="inlineStr">
        <is>
          <t>Overflow 溢水环</t>
        </is>
      </c>
      <c r="C18" s="219" t="n"/>
      <c r="D18" s="219" t="n"/>
      <c r="E18" s="219" t="n"/>
      <c r="F18" s="219" t="n"/>
      <c r="G18" s="219">
        <f>IF(J18=0,"",IF(OR(18=16,18=17,18=21),"套",IF(OR(18=30,18=31),"率","件")))</f>
        <v/>
      </c>
      <c r="H18" s="219">
        <f>IF(J18=0,"",1)</f>
        <v/>
      </c>
      <c r="I18" s="219">
        <f>IFERROR(IF(H18="","",J18/H18),"")</f>
        <v/>
      </c>
      <c r="J18" s="30">
        <f>0</f>
        <v/>
      </c>
      <c r="K18" s="50">
        <f>IFERROR(J18,"")</f>
        <v/>
      </c>
      <c r="L18" s="50">
        <f>IFERROR(J18,"")</f>
        <v/>
      </c>
      <c r="M18" s="50">
        <f>IFERROR(J18,"")</f>
        <v/>
      </c>
      <c r="N18" s="50">
        <f>IFERROR(J18,"")</f>
        <v/>
      </c>
      <c r="O18" s="50">
        <f>IFERROR(J18,"")</f>
        <v/>
      </c>
      <c r="P18" s="31" t="n"/>
      <c r="Q18" s="31" t="n"/>
      <c r="R18" s="219" t="n"/>
      <c r="S18" s="219" t="inlineStr">
        <is>
          <t>溢水件若单独报价，可在 K-O 版本列手动填。</t>
        </is>
      </c>
    </row>
    <row r="19" ht="22" customHeight="1" s="197">
      <c r="A19" s="224" t="n"/>
      <c r="B19" s="219" t="inlineStr">
        <is>
          <t>Push button/lever 按键、扳手</t>
        </is>
      </c>
      <c r="C19" s="219" t="n"/>
      <c r="D19" s="219" t="n"/>
      <c r="E19" s="219" t="n"/>
      <c r="F19" s="219" t="n"/>
      <c r="G19" s="219">
        <f>IF(J19=0,"",IF(OR(19=16,19=17,19=21),"套",IF(OR(19=30,19=31),"率","件")))</f>
        <v/>
      </c>
      <c r="H19" s="219">
        <f>IF(J19=0,"",1)</f>
        <v/>
      </c>
      <c r="I19" s="219">
        <f>IFERROR(IF(H19="","",J19/H19),"")</f>
        <v/>
      </c>
      <c r="J19" s="30">
        <f>0</f>
        <v/>
      </c>
      <c r="K19" s="50">
        <f>IFERROR(J19,"")</f>
        <v/>
      </c>
      <c r="L19" s="50">
        <f>IFERROR(J19,"")</f>
        <v/>
      </c>
      <c r="M19" s="50">
        <f>IFERROR(J19,"")</f>
        <v/>
      </c>
      <c r="N19" s="50">
        <f>IFERROR(J19,"")</f>
        <v/>
      </c>
      <c r="O19" s="50">
        <f>IFERROR(J19,"")</f>
        <v/>
      </c>
      <c r="P19" s="31" t="n"/>
      <c r="Q19" s="31" t="n"/>
      <c r="R19" s="219" t="n"/>
      <c r="S19" s="219" t="inlineStr">
        <is>
          <t>按键/扳手默认含在水件/五金。</t>
        </is>
      </c>
    </row>
    <row r="20" ht="22" customHeight="1" s="197">
      <c r="A20" s="224" t="n"/>
      <c r="B20" s="219" t="inlineStr">
        <is>
          <t>Tank fitting kit 水箱安装配件</t>
        </is>
      </c>
      <c r="C20" s="219" t="n"/>
      <c r="D20" s="219" t="n"/>
      <c r="E20" s="219" t="n"/>
      <c r="F20" s="219" t="n"/>
      <c r="G20" s="219">
        <f>IF(J20=0,"",IF(OR(20=16,20=17,20=21),"套",IF(OR(20=30,20=31),"率","件")))</f>
        <v/>
      </c>
      <c r="H20" s="219">
        <f>IF(J20=0,"",1)</f>
        <v/>
      </c>
      <c r="I20" s="219">
        <f>IFERROR(IF(H20="","",J20/H20),"")</f>
        <v/>
      </c>
      <c r="J20" s="30">
        <f>0</f>
        <v/>
      </c>
      <c r="K20" s="50">
        <f>IFERROR(J20,"")</f>
        <v/>
      </c>
      <c r="L20" s="50">
        <f>IFERROR(J20,"")</f>
        <v/>
      </c>
      <c r="M20" s="50">
        <f>IFERROR(J20,"")</f>
        <v/>
      </c>
      <c r="N20" s="50">
        <f>IFERROR(J20,"")</f>
        <v/>
      </c>
      <c r="O20" s="50">
        <f>IFERROR(J20,"")</f>
        <v/>
      </c>
      <c r="P20" s="31" t="n"/>
      <c r="Q20" s="31" t="n"/>
      <c r="R20" s="219" t="n"/>
      <c r="S20" s="219" t="inlineStr">
        <is>
          <t>水箱安装包默认含在水件/五金。</t>
        </is>
      </c>
    </row>
    <row r="21" ht="22" customHeight="1" s="197">
      <c r="A21" s="224" t="n"/>
      <c r="B21" s="219" t="inlineStr">
        <is>
          <t>Toilet fitting kit 安装配件</t>
        </is>
      </c>
      <c r="C21" s="219" t="n"/>
      <c r="D21" s="219" t="n"/>
      <c r="E21" s="219" t="n"/>
      <c r="F21" s="219" t="n"/>
      <c r="G21" s="219">
        <f>IF(J21=0,"",IF(OR(21=16,21=17,21=21),"套",IF(OR(21=30,21=31),"率","件")))</f>
        <v/>
      </c>
      <c r="H21" s="219">
        <f>IF(J21=0,"",1)</f>
        <v/>
      </c>
      <c r="I21" s="219">
        <f>IFERROR(IF(H21="","",J21/H21),"")</f>
        <v/>
      </c>
      <c r="J21" s="30">
        <f>IFERROR(BOM!$F$9,0)</f>
        <v/>
      </c>
      <c r="K21" s="50">
        <f>IFERROR(J21,"")</f>
        <v/>
      </c>
      <c r="L21" s="50">
        <f>IFERROR(J21,"")</f>
        <v/>
      </c>
      <c r="M21" s="50">
        <f>IFERROR(J21,"")</f>
        <v/>
      </c>
      <c r="N21" s="50">
        <f>IFERROR(J21,"")</f>
        <v/>
      </c>
      <c r="O21" s="50">
        <f>IFERROR(J21,"")</f>
        <v/>
      </c>
      <c r="P21" s="31" t="n"/>
      <c r="Q21" s="31" t="n"/>
      <c r="R21" s="219" t="n"/>
      <c r="S21" s="219" t="inlineStr">
        <is>
          <t>台盆下水/安装件在这里过渡显示</t>
        </is>
      </c>
    </row>
    <row r="22" ht="22" customHeight="1" s="197">
      <c r="A22" s="220" t="n"/>
      <c r="B22" s="219" t="inlineStr">
        <is>
          <t>Certification/Testing 认证/测试</t>
        </is>
      </c>
      <c r="C22" s="219" t="n"/>
      <c r="D22" s="219" t="n"/>
      <c r="E22" s="219" t="n"/>
      <c r="F22" s="219" t="n"/>
      <c r="G22" s="219">
        <f>IF(J22=0,"",IF(OR(22=16,22=17,22=21),"套",IF(OR(22=30,22=31),"率","件")))</f>
        <v/>
      </c>
      <c r="H22" s="219">
        <f>IF(J22=0,"",1)</f>
        <v/>
      </c>
      <c r="I22" s="219">
        <f>IFERROR(IF(H22="","",J22/H22),"")</f>
        <v/>
      </c>
      <c r="J22" s="30">
        <f>IFERROR(BOM!$F$11,0)</f>
        <v/>
      </c>
      <c r="K22" s="50">
        <f>IFERROR(J22,"")</f>
        <v/>
      </c>
      <c r="L22" s="50">
        <f>IFERROR(J22,"")</f>
        <v/>
      </c>
      <c r="M22" s="50">
        <f>IFERROR(J22,"")</f>
        <v/>
      </c>
      <c r="N22" s="50">
        <f>IFERROR(J22,"")</f>
        <v/>
      </c>
      <c r="O22" s="50">
        <f>IFERROR(J22,"")</f>
        <v/>
      </c>
      <c r="P22" s="31" t="n"/>
      <c r="Q22" s="31" t="n"/>
      <c r="R22" s="219" t="n"/>
      <c r="S22" s="219" t="inlineStr">
        <is>
          <t>认证默认价/覆盖价来自 Input。</t>
        </is>
      </c>
    </row>
    <row r="23" ht="22" customHeight="1" s="197">
      <c r="A23" s="219" t="inlineStr">
        <is>
          <t>Package 包装</t>
        </is>
      </c>
      <c r="B23" s="219" t="inlineStr">
        <is>
          <t>Installation Manual 说明书</t>
        </is>
      </c>
      <c r="C23" s="219" t="n"/>
      <c r="D23" s="219" t="n"/>
      <c r="E23" s="219" t="n"/>
      <c r="F23" s="219" t="n"/>
      <c r="G23" s="219">
        <f>IF(J23=0,"","本")</f>
        <v/>
      </c>
      <c r="H23" s="219" t="n">
        <v>1</v>
      </c>
      <c r="I23" s="219">
        <f>IFERROR(IF(H23="","",J23/H23),"")</f>
        <v/>
      </c>
      <c r="J23" s="30" t="n">
        <v>2</v>
      </c>
      <c r="K23" s="50">
        <f>IFERROR(J23,"")</f>
        <v/>
      </c>
      <c r="L23" s="50">
        <f>IFERROR(J23,"")</f>
        <v/>
      </c>
      <c r="M23" s="50">
        <f>IFERROR(J23,"")</f>
        <v/>
      </c>
      <c r="N23" s="50">
        <f>IFERROR(J23,"")</f>
        <v/>
      </c>
      <c r="O23" s="50">
        <f>IFERROR(J23,"")</f>
        <v/>
      </c>
      <c r="P23" s="31" t="n"/>
      <c r="Q23" s="31" t="n"/>
      <c r="R23" s="219" t="n"/>
      <c r="S23" s="219" t="inlineStr">
        <is>
          <t>说明书默认含在包装材料。</t>
        </is>
      </c>
    </row>
    <row r="24" ht="22" customHeight="1" s="197">
      <c r="A24" s="224" t="n"/>
      <c r="B24" s="219" t="inlineStr">
        <is>
          <t>Inner pack 内包装</t>
        </is>
      </c>
      <c r="C24" s="219" t="n"/>
      <c r="D24" s="219" t="n"/>
      <c r="E24" s="219" t="n"/>
      <c r="F24" s="219" t="n"/>
      <c r="G24" s="219">
        <f>IF(J24=0,"","个")</f>
        <v/>
      </c>
      <c r="H24" s="219" t="n">
        <v>1</v>
      </c>
      <c r="I24" s="219">
        <f>IFERROR(IF(H24="","",J24/H24),"")</f>
        <v/>
      </c>
      <c r="J24" s="30" t="n">
        <v>6</v>
      </c>
      <c r="K24" s="50">
        <f>IFERROR(J24,"")</f>
        <v/>
      </c>
      <c r="L24" s="50">
        <f>IFERROR(J24,"")</f>
        <v/>
      </c>
      <c r="M24" s="50">
        <f>IFERROR(J24,"")</f>
        <v/>
      </c>
      <c r="N24" s="50">
        <f>IFERROR(J24,"")</f>
        <v/>
      </c>
      <c r="O24" s="50">
        <f>IFERROR(J24,"")</f>
        <v/>
      </c>
      <c r="P24" s="31" t="n"/>
      <c r="Q24" s="31" t="n"/>
      <c r="R24" s="219" t="n"/>
      <c r="S24" s="219" t="inlineStr">
        <is>
          <t>内包默认含在包装材料。</t>
        </is>
      </c>
    </row>
    <row r="25" ht="22" customHeight="1" s="197">
      <c r="A25" s="224" t="n"/>
      <c r="B25" s="219" t="inlineStr">
        <is>
          <t>outer carton 外箱</t>
        </is>
      </c>
      <c r="C25" s="219" t="n"/>
      <c r="D25" s="219" t="n"/>
      <c r="E25" s="219" t="n"/>
      <c r="F25" s="219" t="n"/>
      <c r="G25" s="219">
        <f>IF(J25=0,"","个")</f>
        <v/>
      </c>
      <c r="H25" s="219" t="n">
        <v>1</v>
      </c>
      <c r="I25" s="219">
        <f>IFERROR(IF(H25="","",J25/H25),"")</f>
        <v/>
      </c>
      <c r="J25" s="30">
        <f>IFERROR(MAX(BOM!$F$10-J23-J24,0),0)</f>
        <v/>
      </c>
      <c r="K25" s="50">
        <f>IFERROR(J25,"")</f>
        <v/>
      </c>
      <c r="L25" s="50">
        <f>IFERROR(J25,"")</f>
        <v/>
      </c>
      <c r="M25" s="50">
        <f>IFERROR(J25,"")</f>
        <v/>
      </c>
      <c r="N25" s="50">
        <f>IFERROR(J25,"")</f>
        <v/>
      </c>
      <c r="O25" s="50">
        <f>IFERROR(J25,"")</f>
        <v/>
      </c>
      <c r="P25" s="31" t="n"/>
      <c r="Q25" s="31" t="n"/>
      <c r="R25" s="219" t="n"/>
      <c r="S25" s="219" t="inlineStr">
        <is>
          <t>包装材料自动带入</t>
        </is>
      </c>
    </row>
    <row r="26" ht="22" customHeight="1" s="197">
      <c r="A26" s="220" t="n"/>
      <c r="B26" s="219" t="inlineStr">
        <is>
          <t>Pallet 托盘(无特殊要求无)</t>
        </is>
      </c>
      <c r="C26" s="219" t="n"/>
      <c r="D26" s="219" t="n"/>
      <c r="E26" s="219" t="n"/>
      <c r="F26" s="219" t="n"/>
      <c r="G26" s="219">
        <f>IF(J26=0,"",IF(OR(26=16,26=17,26=21),"套",IF(OR(26=30,26=31),"率","件")))</f>
        <v/>
      </c>
      <c r="H26" s="219">
        <f>IF(J26=0,"",1)</f>
        <v/>
      </c>
      <c r="I26" s="219">
        <f>IFERROR(IF(H26="","",J26/H26),"")</f>
        <v/>
      </c>
      <c r="J26" s="30">
        <f>0</f>
        <v/>
      </c>
      <c r="K26" s="50">
        <f>IFERROR(J26,"")</f>
        <v/>
      </c>
      <c r="L26" s="50">
        <f>IFERROR(J26,"")</f>
        <v/>
      </c>
      <c r="M26" s="50">
        <f>IFERROR(J26,"")</f>
        <v/>
      </c>
      <c r="N26" s="50">
        <f>IFERROR(J26,"")</f>
        <v/>
      </c>
      <c r="O26" s="50">
        <f>IFERROR(J26,"")</f>
        <v/>
      </c>
      <c r="P26" s="31" t="n"/>
      <c r="Q26" s="31" t="n"/>
      <c r="R26" s="219" t="n"/>
      <c r="S26" s="219" t="inlineStr">
        <is>
          <t>托盘如客户指定，可在 K-O 版本列手动填。</t>
        </is>
      </c>
    </row>
    <row r="27" ht="22" customHeight="1" s="197">
      <c r="A27" s="219" t="inlineStr">
        <is>
          <t>Labor Cost 人工成本</t>
        </is>
      </c>
      <c r="B27" s="219" t="inlineStr">
        <is>
          <t>Production labor cost 生产人工成本</t>
        </is>
      </c>
      <c r="C27" s="219" t="n"/>
      <c r="D27" s="219" t="n"/>
      <c r="E27" s="219" t="n"/>
      <c r="F27" s="219" t="n"/>
      <c r="G27" s="219">
        <f>IF(J27=0,"",IF(OR(27=16,27=17,27=21),"套",IF(OR(27=30,27=31),"率","件")))</f>
        <v/>
      </c>
      <c r="H27" s="219">
        <f>IF(J27=0,"",1)</f>
        <v/>
      </c>
      <c r="I27" s="219">
        <f>IFERROR(IF(H27="","",J27/H27),"")</f>
        <v/>
      </c>
      <c r="J27" s="30">
        <f>IFERROR(BOM!$F$12*0.85,0)</f>
        <v/>
      </c>
      <c r="K27" s="50">
        <f>IFERROR(J27,"")</f>
        <v/>
      </c>
      <c r="L27" s="50">
        <f>IFERROR(J27,"")</f>
        <v/>
      </c>
      <c r="M27" s="50">
        <f>IFERROR(J27,"")</f>
        <v/>
      </c>
      <c r="N27" s="50">
        <f>IFERROR(J27,"")</f>
        <v/>
      </c>
      <c r="O27" s="50">
        <f>IFERROR(J27,"")</f>
        <v/>
      </c>
      <c r="P27" s="31" t="n"/>
      <c r="Q27" s="31" t="n"/>
      <c r="R27" s="219" t="n"/>
      <c r="S27" s="219" t="inlineStr">
        <is>
          <t>直接人工按生产/包装人工拆分展示。</t>
        </is>
      </c>
    </row>
    <row r="28" ht="22" customHeight="1" s="197">
      <c r="A28" s="220" t="n"/>
      <c r="B28" s="219" t="inlineStr">
        <is>
          <t>Packing labor cost 包装人工成本</t>
        </is>
      </c>
      <c r="C28" s="219" t="n"/>
      <c r="D28" s="219" t="n"/>
      <c r="E28" s="219" t="n"/>
      <c r="F28" s="219" t="n"/>
      <c r="G28" s="219">
        <f>IF(J28=0,"",IF(OR(28=16,28=17,28=21),"套",IF(OR(28=30,28=31),"率","件")))</f>
        <v/>
      </c>
      <c r="H28" s="219">
        <f>IF(J28=0,"",1)</f>
        <v/>
      </c>
      <c r="I28" s="219">
        <f>IFERROR(IF(H28="","",J28/H28),"")</f>
        <v/>
      </c>
      <c r="J28" s="30">
        <f>IFERROR(BOM!$F$12*0.15,0)</f>
        <v/>
      </c>
      <c r="K28" s="50">
        <f>IFERROR(J28,"")</f>
        <v/>
      </c>
      <c r="L28" s="50">
        <f>IFERROR(J28,"")</f>
        <v/>
      </c>
      <c r="M28" s="50">
        <f>IFERROR(J28,"")</f>
        <v/>
      </c>
      <c r="N28" s="50">
        <f>IFERROR(J28,"")</f>
        <v/>
      </c>
      <c r="O28" s="50">
        <f>IFERROR(J28,"")</f>
        <v/>
      </c>
      <c r="P28" s="31" t="n"/>
      <c r="Q28" s="31" t="n"/>
      <c r="R28" s="219" t="n"/>
      <c r="S28" s="219" t="inlineStr">
        <is>
          <t>拆分仅用于旧表阅读，合计等于直接人工。</t>
        </is>
      </c>
    </row>
    <row r="29" ht="22" customHeight="1" s="197">
      <c r="A29" s="219" t="inlineStr">
        <is>
          <t>Spoilage 损耗</t>
        </is>
      </c>
      <c r="B29" s="219" t="inlineStr">
        <is>
          <t>Lost for low yield / breakage 损耗预留</t>
        </is>
      </c>
      <c r="C29" s="219" t="n"/>
      <c r="D29" s="219" t="n"/>
      <c r="E29" s="219" t="n"/>
      <c r="F29" s="219" t="n"/>
      <c r="G29" s="219">
        <f>IF(J29=0,"",IF(OR(29=16,29=17,29=21),"套",IF(OR(29=30,29=31),"率","件")))</f>
        <v/>
      </c>
      <c r="H29" s="219">
        <f>IF(J29=0,"",1)</f>
        <v/>
      </c>
      <c r="I29" s="219">
        <f>IFERROR(IF(H29="","",J29/H29),"")</f>
        <v/>
      </c>
      <c r="J29" s="30">
        <f>IFERROR(BOM!$F$14,0)</f>
        <v/>
      </c>
      <c r="K29" s="50">
        <f>IFERROR(J29,"")</f>
        <v/>
      </c>
      <c r="L29" s="50">
        <f>IFERROR(J29,"")</f>
        <v/>
      </c>
      <c r="M29" s="50">
        <f>IFERROR(J29,"")</f>
        <v/>
      </c>
      <c r="N29" s="50">
        <f>IFERROR(J29,"")</f>
        <v/>
      </c>
      <c r="O29" s="50">
        <f>IFERROR(J29,"")</f>
        <v/>
      </c>
      <c r="P29" s="31" t="n"/>
      <c r="Q29" s="31" t="n"/>
      <c r="R29" s="219" t="n"/>
      <c r="S29" s="219" t="inlineStr">
        <is>
          <t>合格率损耗若需单独体现，可在 K-O 手动填。</t>
        </is>
      </c>
    </row>
    <row r="30" ht="22" customHeight="1" s="197">
      <c r="A30" s="219" t="inlineStr">
        <is>
          <t>Indirect Cost 间接费用</t>
        </is>
      </c>
      <c r="B30" s="219" t="inlineStr">
        <is>
          <t>Tooling / manufacturing overhead 制造间接</t>
        </is>
      </c>
      <c r="C30" s="219" t="n"/>
      <c r="D30" s="219" t="n"/>
      <c r="E30" s="219" t="n"/>
      <c r="F30" s="219" t="n"/>
      <c r="G30" s="219">
        <f>IF(J30=0,"",IF(OR(30=16,30=17,30=21),"套",IF(OR(30=30,30=31),"率","件")))</f>
        <v/>
      </c>
      <c r="H30" s="219">
        <f>IF(J30=0,"",1)</f>
        <v/>
      </c>
      <c r="I30" s="219">
        <f>IFERROR(IF(H30="","",J30/H30),"")</f>
        <v/>
      </c>
      <c r="J30" s="30">
        <f>IFERROR(BOM!$F$13,0)</f>
        <v/>
      </c>
      <c r="K30" s="50">
        <f>IFERROR(J30,"")</f>
        <v/>
      </c>
      <c r="L30" s="50">
        <f>IFERROR(J30,"")</f>
        <v/>
      </c>
      <c r="M30" s="50">
        <f>IFERROR(J30,"")</f>
        <v/>
      </c>
      <c r="N30" s="50">
        <f>IFERROR(J30,"")</f>
        <v/>
      </c>
      <c r="O30" s="50">
        <f>IFERROR(J30,"")</f>
        <v/>
      </c>
      <c r="P30" s="31" t="n"/>
      <c r="Q30" s="31" t="n"/>
      <c r="R30" s="219" t="n"/>
      <c r="S30" s="219" t="inlineStr">
        <is>
          <t>制造费用自动带入</t>
        </is>
      </c>
    </row>
    <row r="31" ht="22" customHeight="1" s="197">
      <c r="A31" s="220" t="n"/>
      <c r="B31" s="219" t="inlineStr">
        <is>
          <t>Management fee 经营/管理间接费</t>
        </is>
      </c>
      <c r="C31" s="219" t="n"/>
      <c r="D31" s="219" t="n"/>
      <c r="E31" s="219" t="n"/>
      <c r="F31" s="219" t="n"/>
      <c r="G31" s="219">
        <f>IF(J31=0,"",IF(OR(31=16,31=17,31=21),"套",IF(OR(31=30,31=31),"率","件")))</f>
        <v/>
      </c>
      <c r="H31" s="219">
        <f>IF(J31=0,"",1)</f>
        <v/>
      </c>
      <c r="I31" s="219">
        <f>IFERROR(IF(H31="","",J31/H31),"")</f>
        <v/>
      </c>
      <c r="J31" s="30">
        <f>IFERROR(BOM!$F$15,0)</f>
        <v/>
      </c>
      <c r="K31" s="50">
        <f>IFERROR(J31,"")</f>
        <v/>
      </c>
      <c r="L31" s="50">
        <f>IFERROR(J31,"")</f>
        <v/>
      </c>
      <c r="M31" s="50">
        <f>IFERROR(J31,"")</f>
        <v/>
      </c>
      <c r="N31" s="50">
        <f>IFERROR(J31,"")</f>
        <v/>
      </c>
      <c r="O31" s="50">
        <f>IFERROR(J31,"")</f>
        <v/>
      </c>
      <c r="P31" s="31" t="n"/>
      <c r="Q31" s="31" t="n"/>
      <c r="R31" s="219" t="n"/>
      <c r="S31" s="219" t="inlineStr">
        <is>
          <t>经营费用自动带入</t>
        </is>
      </c>
    </row>
    <row r="32" ht="22" customHeight="1" s="197">
      <c r="A32" s="229" t="inlineStr">
        <is>
          <t>Sub Total cost</t>
        </is>
      </c>
      <c r="B32" s="229" t="inlineStr">
        <is>
          <t>RMB 产品成本</t>
        </is>
      </c>
      <c r="C32" s="229" t="n"/>
      <c r="D32" s="229" t="n"/>
      <c r="E32" s="229" t="n"/>
      <c r="F32" s="229" t="n"/>
      <c r="G32" s="229" t="n"/>
      <c r="H32" s="229" t="n"/>
      <c r="I32" s="33" t="n"/>
      <c r="J32" s="30">
        <f>IFERROR(SUM(J10:J31),"")</f>
        <v/>
      </c>
      <c r="K32" s="229">
        <f>IFERROR(SUM(K10:K31),"")</f>
        <v/>
      </c>
      <c r="L32" s="229">
        <f>IFERROR(SUM(L10:L31),"")</f>
        <v/>
      </c>
      <c r="M32" s="229">
        <f>IFERROR(SUM(M10:M31),"")</f>
        <v/>
      </c>
      <c r="N32" s="229">
        <f>IFERROR(SUM(N10:N31),"")</f>
        <v/>
      </c>
      <c r="O32" s="229">
        <f>IFERROR(SUM(O10:O31),"")</f>
        <v/>
      </c>
      <c r="P32" s="33" t="n"/>
      <c r="Q32" s="33" t="n"/>
      <c r="R32" s="229" t="n"/>
      <c r="S32" s="229" t="inlineStr">
        <is>
          <t>未含条款物流</t>
        </is>
      </c>
    </row>
    <row r="33" ht="22" customHeight="1" s="197">
      <c r="A33" s="224" t="n"/>
      <c r="B33" s="2" t="inlineStr">
        <is>
          <t>local charges 物流费用</t>
        </is>
      </c>
      <c r="C33" s="2" t="n"/>
      <c r="D33" s="2" t="n"/>
      <c r="E33" s="2" t="n"/>
      <c r="F33" s="2" t="n"/>
      <c r="G33" s="2" t="inlineStr">
        <is>
          <t>套</t>
        </is>
      </c>
      <c r="H33" s="2" t="n">
        <v>1</v>
      </c>
      <c r="I33" s="34" t="n"/>
      <c r="J33" s="30">
        <f>IFERROR(BOM!$F$16,0)</f>
        <v/>
      </c>
      <c r="K33" s="50">
        <f>IFERROR(J33,"")</f>
        <v/>
      </c>
      <c r="L33" s="50">
        <f>IFERROR(J33,"")</f>
        <v/>
      </c>
      <c r="M33" s="50">
        <f>IFERROR(J33,"")</f>
        <v/>
      </c>
      <c r="N33" s="50">
        <f>IFERROR(J33,"")</f>
        <v/>
      </c>
      <c r="O33" s="50">
        <f>IFERROR(J33,"")</f>
        <v/>
      </c>
      <c r="P33" s="34" t="n"/>
      <c r="Q33" s="34" t="n"/>
      <c r="R33" s="2" t="n"/>
      <c r="S33" s="2" t="inlineStr">
        <is>
          <t>条款物流</t>
        </is>
      </c>
    </row>
    <row r="34" ht="22" customHeight="1" s="197">
      <c r="A34" s="220" t="n"/>
      <c r="B34" s="2" t="inlineStr">
        <is>
          <t>人民币总成本</t>
        </is>
      </c>
      <c r="C34" s="2" t="n"/>
      <c r="D34" s="2" t="n"/>
      <c r="E34" s="2" t="n"/>
      <c r="F34" s="2" t="n"/>
      <c r="G34" s="2" t="n"/>
      <c r="H34" s="2" t="n"/>
      <c r="I34" s="34" t="n"/>
      <c r="J34" s="30">
        <f>IFERROR(BOM!$F$17,"")</f>
        <v/>
      </c>
      <c r="K34" s="2">
        <f>IFERROR(K32+K33,"")</f>
        <v/>
      </c>
      <c r="L34" s="2">
        <f>IFERROR(L32+L33,"")</f>
        <v/>
      </c>
      <c r="M34" s="2">
        <f>IFERROR(M32+M33,"")</f>
        <v/>
      </c>
      <c r="N34" s="2">
        <f>IFERROR(N32+N33,"")</f>
        <v/>
      </c>
      <c r="O34" s="2">
        <f>IFERROR(O32+O33,"")</f>
        <v/>
      </c>
      <c r="P34" s="34" t="n"/>
      <c r="Q34" s="34" t="n"/>
      <c r="R34" s="2" t="n"/>
      <c r="S34" s="2" t="inlineStr">
        <is>
          <t>产品成本 + 物流</t>
        </is>
      </c>
    </row>
    <row r="35" ht="22" customHeight="1" s="197">
      <c r="A35" s="35" t="inlineStr">
        <is>
          <t>Profit</t>
        </is>
      </c>
      <c r="B35" s="35" t="inlineStr">
        <is>
          <t>Profit 利润</t>
        </is>
      </c>
      <c r="C35" s="35" t="n"/>
      <c r="D35" s="35" t="n"/>
      <c r="E35" s="35" t="n"/>
      <c r="F35" s="35" t="n"/>
      <c r="G35" s="35" t="n"/>
      <c r="H35" s="35" t="n"/>
      <c r="I35" s="3" t="n"/>
      <c r="J35" s="36">
        <f>IFERROR(BOM!$F$21,"")</f>
        <v/>
      </c>
      <c r="K35" s="3">
        <f>IFERROR(IF(K38="","",K38*IF(Input!$B$17="RMB",1,IF(N(Input!$B$18)&gt;0,Input!$B$18,7.2))-K34-K38*IF(Input!$B$17="RMB",1,IF(N(Input!$B$18)&gt;0,Input!$B$18,7.2))*(N(Input!$B$24)+N(Input!$B$25)+N(Input!$B$26))),"")</f>
        <v/>
      </c>
      <c r="L35" s="3">
        <f>IFERROR(IF(L38="","",L38*IF(Input!$B$17="RMB",1,IF(N(Input!$B$18)&gt;0,Input!$B$18,7.2))-L34-L38*IF(Input!$B$17="RMB",1,IF(N(Input!$B$18)&gt;0,Input!$B$18,7.2))*(N(Input!$B$24)+N(Input!$B$25)+N(Input!$B$26))),"")</f>
        <v/>
      </c>
      <c r="M35" s="3">
        <f>IFERROR(IF(M38="","",M38*IF(Input!$B$17="RMB",1,IF(N(Input!$B$18)&gt;0,Input!$B$18,7.2))-M34-M38*IF(Input!$B$17="RMB",1,IF(N(Input!$B$18)&gt;0,Input!$B$18,7.2))*(N(Input!$B$24)+N(Input!$B$25)+N(Input!$B$26))),"")</f>
        <v/>
      </c>
      <c r="N35" s="3">
        <f>IFERROR(IF(N38="","",N38*IF(Input!$B$17="RMB",1,IF(N(Input!$B$18)&gt;0,Input!$B$18,7.2))-N34-N38*IF(Input!$B$17="RMB",1,IF(N(Input!$B$18)&gt;0,Input!$B$18,7.2))*(N(Input!$B$24)+N(Input!$B$25)+N(Input!$B$26))),"")</f>
        <v/>
      </c>
      <c r="O35" s="3">
        <f>IFERROR(IF(O38="","",O38*IF(Input!$B$17="RMB",1,IF(N(Input!$B$18)&gt;0,Input!$B$18,7.2))-O34-O38*IF(Input!$B$17="RMB",1,IF(N(Input!$B$18)&gt;0,Input!$B$18,7.2))*(N(Input!$B$24)+N(Input!$B$25)+N(Input!$B$26))),"")</f>
        <v/>
      </c>
      <c r="P35" s="36">
        <f>IFERROR(P38*IF(Input!$B$17="RMB",1,Input!$B$18)-J34-P38*IF(Input!$B$17="RMB",1,Input!$B$18)*(Input!$B$24+Input!$B$25+Input!$B$26),"")</f>
        <v/>
      </c>
      <c r="Q35" s="36">
        <f>IFERROR(Q38*IF(Input!$B$17="RMB",1,Input!$B$18)-J34-Q38*IF(Input!$B$17="RMB",1,Input!$B$18)*(Input!$B$24+Input!$B$25+Input!$B$26),"")</f>
        <v/>
      </c>
      <c r="R35" s="35" t="n"/>
      <c r="S35" s="35" t="inlineStr">
        <is>
          <t>目标净毛利</t>
        </is>
      </c>
    </row>
    <row r="36" ht="22" customHeight="1" s="197">
      <c r="A36" s="219" t="inlineStr">
        <is>
          <t>Exchange rate</t>
        </is>
      </c>
      <c r="B36" s="219" t="inlineStr">
        <is>
          <t>报价币种 / 汇率</t>
        </is>
      </c>
      <c r="C36" s="219" t="n"/>
      <c r="D36" s="219" t="n"/>
      <c r="E36" s="219" t="n"/>
      <c r="F36" s="219" t="n"/>
      <c r="G36" s="219" t="n"/>
      <c r="H36" s="219" t="n"/>
      <c r="I36" s="31" t="n"/>
      <c r="J36" s="36">
        <f>IFERROR(Input!$B$17&amp;" / "&amp;Input!$B$18,"")</f>
        <v/>
      </c>
      <c r="K36" s="31">
        <f>IFERROR(Input!$B$18,"")</f>
        <v/>
      </c>
      <c r="L36" s="31">
        <f>IFERROR(Input!$B$18,"")</f>
        <v/>
      </c>
      <c r="M36" s="31">
        <f>IFERROR(Input!$B$18,"")</f>
        <v/>
      </c>
      <c r="N36" s="31">
        <f>IFERROR(Input!$B$18,"")</f>
        <v/>
      </c>
      <c r="O36" s="31">
        <f>IFERROR(Input!$B$18,"")</f>
        <v/>
      </c>
      <c r="P36" s="36" t="n"/>
      <c r="Q36" s="36" t="n"/>
      <c r="R36" s="219" t="n"/>
      <c r="S36" s="219" t="n"/>
    </row>
    <row r="37" ht="22" customHeight="1" s="197">
      <c r="A37" s="228" t="inlineStr">
        <is>
          <t>Total cost</t>
        </is>
      </c>
      <c r="B37" s="228" t="inlineStr">
        <is>
          <t>报价币种成本</t>
        </is>
      </c>
      <c r="C37" s="228" t="n"/>
      <c r="D37" s="228" t="n"/>
      <c r="E37" s="228" t="n"/>
      <c r="F37" s="228" t="n"/>
      <c r="G37" s="228" t="n"/>
      <c r="H37" s="228" t="n"/>
      <c r="I37" s="38" t="n"/>
      <c r="J37" s="36">
        <f>IF(CustomerQuote!$B$12="","",BOM!$F$18)</f>
        <v/>
      </c>
      <c r="K37" s="38">
        <f>IFERROR(IF(Input!$B$17="RMB",K34,K34/IF(N(Input!$B$18)&gt;0,Input!$B$18,7.2)),"")</f>
        <v/>
      </c>
      <c r="L37" s="38">
        <f>IFERROR(IF(Input!$B$17="RMB",L34,L34/IF(N(Input!$B$18)&gt;0,Input!$B$18,7.2)),"")</f>
        <v/>
      </c>
      <c r="M37" s="38">
        <f>IFERROR(IF(Input!$B$17="RMB",M34,M34/IF(N(Input!$B$18)&gt;0,Input!$B$18,7.2)),"")</f>
        <v/>
      </c>
      <c r="N37" s="38">
        <f>IFERROR(IF(Input!$B$17="RMB",N34,N34/IF(N(Input!$B$18)&gt;0,Input!$B$18,7.2)),"")</f>
        <v/>
      </c>
      <c r="O37" s="38">
        <f>IFERROR(IF(Input!$B$17="RMB",O34,O34/IF(N(Input!$B$18)&gt;0,Input!$B$18,7.2)),"")</f>
        <v/>
      </c>
      <c r="P37" s="36">
        <f>IFERROR(J37,"")</f>
        <v/>
      </c>
      <c r="Q37" s="36">
        <f>IFERROR(J37,"")</f>
        <v/>
      </c>
      <c r="R37" s="228" t="n"/>
      <c r="S37" s="228" t="n"/>
    </row>
    <row r="38" ht="22" customHeight="1" s="197">
      <c r="A38" s="220" t="n"/>
      <c r="B38" s="39" t="inlineStr">
        <is>
          <t>报价币种销售价</t>
        </is>
      </c>
      <c r="C38" s="39" t="n"/>
      <c r="D38" s="39" t="n"/>
      <c r="E38" s="39" t="n"/>
      <c r="F38" s="39" t="n"/>
      <c r="G38" s="39" t="n"/>
      <c r="H38" s="39" t="n"/>
      <c r="I38" s="40" t="n"/>
      <c r="J38" s="36">
        <f>IF(CustomerQuote!$B$12="","",BOM!$F$19)</f>
        <v/>
      </c>
      <c r="K38" s="40">
        <f>IFERROR(IF(AND(K37&lt;&gt;"",1-IF(N(Input!$B$22)&gt;0,Input!$B$22,0.18)-(N(Input!$B$24)+N(Input!$B$25)+N(Input!$B$26))&gt;0,1-IF(N(Input!$B$23)&gt;0,Input!$B$23,0.1)-(N(Input!$B$24)+N(Input!$B$25)+N(Input!$B$26))&gt;0),MAX(K37/(1-IF(N(Input!$B$22)&gt;0,Input!$B$22,0.18)-(N(Input!$B$24)+N(Input!$B$25)+N(Input!$B$26))),K37/(1-IF(N(Input!$B$23)&gt;0,Input!$B$23,0.1)-(N(Input!$B$24)+N(Input!$B$25)+N(Input!$B$26)))),""),"")</f>
        <v/>
      </c>
      <c r="L38" s="40">
        <f>IFERROR(IF(AND(L37&lt;&gt;"",1-IF(N(Input!$B$22)&gt;0,Input!$B$22,0.18)-(N(Input!$B$24)+N(Input!$B$25)+N(Input!$B$26))&gt;0,1-IF(N(Input!$B$23)&gt;0,Input!$B$23,0.1)-(N(Input!$B$24)+N(Input!$B$25)+N(Input!$B$26))&gt;0),MAX(L37/(1-IF(N(Input!$B$22)&gt;0,Input!$B$22,0.18)-(N(Input!$B$24)+N(Input!$B$25)+N(Input!$B$26))),L37/(1-IF(N(Input!$B$23)&gt;0,Input!$B$23,0.1)-(N(Input!$B$24)+N(Input!$B$25)+N(Input!$B$26)))),""),"")</f>
        <v/>
      </c>
      <c r="M38" s="40">
        <f>IFERROR(IF(AND(M37&lt;&gt;"",1-IF(N(Input!$B$22)&gt;0,Input!$B$22,0.18)-(N(Input!$B$24)+N(Input!$B$25)+N(Input!$B$26))&gt;0,1-IF(N(Input!$B$23)&gt;0,Input!$B$23,0.1)-(N(Input!$B$24)+N(Input!$B$25)+N(Input!$B$26))&gt;0),MAX(M37/(1-IF(N(Input!$B$22)&gt;0,Input!$B$22,0.18)-(N(Input!$B$24)+N(Input!$B$25)+N(Input!$B$26))),M37/(1-IF(N(Input!$B$23)&gt;0,Input!$B$23,0.1)-(N(Input!$B$24)+N(Input!$B$25)+N(Input!$B$26)))),""),"")</f>
        <v/>
      </c>
      <c r="N38" s="40">
        <f>IFERROR(IF(AND(N37&lt;&gt;"",1-IF(N(Input!$B$22)&gt;0,Input!$B$22,0.18)-(N(Input!$B$24)+N(Input!$B$25)+N(Input!$B$26))&gt;0,1-IF(N(Input!$B$23)&gt;0,Input!$B$23,0.1)-(N(Input!$B$24)+N(Input!$B$25)+N(Input!$B$26))&gt;0),MAX(N37/(1-IF(N(Input!$B$22)&gt;0,Input!$B$22,0.18)-(N(Input!$B$24)+N(Input!$B$25)+N(Input!$B$26))),N37/(1-IF(N(Input!$B$23)&gt;0,Input!$B$23,0.1)-(N(Input!$B$24)+N(Input!$B$25)+N(Input!$B$26)))),""),"")</f>
        <v/>
      </c>
      <c r="O38" s="40">
        <f>IFERROR(IF(AND(O37&lt;&gt;"",1-IF(N(Input!$B$22)&gt;0,Input!$B$22,0.18)-(N(Input!$B$24)+N(Input!$B$25)+N(Input!$B$26))&gt;0,1-IF(N(Input!$B$23)&gt;0,Input!$B$23,0.1)-(N(Input!$B$24)+N(Input!$B$25)+N(Input!$B$26))&gt;0),MAX(O37/(1-IF(N(Input!$B$22)&gt;0,Input!$B$22,0.18)-(N(Input!$B$24)+N(Input!$B$25)+N(Input!$B$26))),O37/(1-IF(N(Input!$B$23)&gt;0,Input!$B$23,0.1)-(N(Input!$B$24)+N(Input!$B$25)+N(Input!$B$26)))),""),"")</f>
        <v/>
      </c>
      <c r="P38" s="36">
        <f>IFERROR(IF(CustomerQuote!$B$12="","",IF(1-$P$8-Input!$B$24-Input!$B$25-Input!$B$26&gt;0,J37/(1-$P$8-Input!$B$24-Input!$B$25-Input!$B$26),0)),"")</f>
        <v/>
      </c>
      <c r="Q38" s="36">
        <f>IFERROR(IF(CustomerQuote!$B$12="","",IF(1-$Q$8-Input!$B$24-Input!$B$25-Input!$B$26&gt;0,J37/(1-$Q$8-Input!$B$24-Input!$B$25-Input!$B$26),0)),"")</f>
        <v/>
      </c>
      <c r="R38" s="39" t="n"/>
      <c r="S38" s="39" t="n"/>
    </row>
    <row r="39" ht="22" customHeight="1" s="197">
      <c r="A39" s="54" t="n"/>
      <c r="B39" s="54" t="n"/>
      <c r="C39" s="54" t="n"/>
      <c r="D39" s="54" t="n"/>
      <c r="E39" s="54" t="n"/>
      <c r="F39" s="54" t="n"/>
      <c r="G39" s="54" t="n"/>
      <c r="H39" s="54" t="n"/>
      <c r="I39" s="54" t="n"/>
      <c r="J39" s="54" t="n"/>
      <c r="K39" s="54" t="n"/>
      <c r="L39" s="54" t="n"/>
      <c r="M39" s="54" t="n"/>
      <c r="N39" s="54" t="n"/>
      <c r="O39" s="54" t="n"/>
      <c r="P39" s="54" t="n"/>
      <c r="Q39" s="54" t="n"/>
      <c r="R39" s="54" t="n"/>
      <c r="S39" s="54" t="n"/>
    </row>
    <row r="40" ht="22" customHeight="1" s="197">
      <c r="A40" s="54" t="n"/>
      <c r="B40" s="54" t="n"/>
      <c r="C40" s="54" t="n"/>
      <c r="D40" s="54" t="n"/>
      <c r="E40" s="54" t="n"/>
      <c r="F40" s="54" t="n"/>
      <c r="G40" s="54" t="n"/>
      <c r="H40" s="54" t="n"/>
      <c r="I40" s="54" t="n"/>
      <c r="J40" s="54" t="n"/>
      <c r="K40" s="54" t="n"/>
      <c r="L40" s="54" t="n"/>
      <c r="M40" s="54" t="n"/>
      <c r="N40" s="54" t="n"/>
      <c r="O40" s="54" t="n"/>
      <c r="P40" s="54" t="n"/>
      <c r="Q40" s="54" t="n"/>
      <c r="R40" s="54" t="n"/>
      <c r="S40" s="54" t="n"/>
    </row>
    <row r="41" ht="22" customHeight="1" s="197">
      <c r="A41" s="226" t="inlineStr">
        <is>
          <t>数量阶梯报价 / Quantity Price Tiers</t>
        </is>
      </c>
      <c r="B41" s="189" t="n"/>
      <c r="C41" s="189" t="n"/>
      <c r="D41" s="189" t="n"/>
      <c r="E41" s="189" t="n"/>
      <c r="F41" s="189" t="n"/>
      <c r="G41" s="189" t="n"/>
      <c r="H41" s="54" t="n"/>
      <c r="I41" s="54" t="n"/>
      <c r="J41" s="54" t="n"/>
      <c r="K41" s="226" t="inlineStr">
        <is>
          <t>包装与物流摘要 / Packing &amp; Logistics</t>
        </is>
      </c>
      <c r="L41" s="189" t="n"/>
      <c r="M41" s="189" t="n"/>
      <c r="N41" s="189" t="n"/>
      <c r="O41" s="189" t="n"/>
      <c r="P41" s="189" t="n"/>
      <c r="Q41" s="189" t="n"/>
      <c r="R41" s="189" t="n"/>
      <c r="S41" s="189" t="n"/>
    </row>
    <row r="42" ht="22" customHeight="1" s="197">
      <c r="A42" s="41" t="inlineStr">
        <is>
          <t>Quantity 数量</t>
        </is>
      </c>
      <c r="B42" s="41" t="inlineStr">
        <is>
          <t>Cabinets 柜数</t>
        </is>
      </c>
      <c r="C42" s="41" t="inlineStr">
        <is>
          <t>Logistics RMB/件</t>
        </is>
      </c>
      <c r="D42" s="41" t="inlineStr">
        <is>
          <t>Cost RMB/件</t>
        </is>
      </c>
      <c r="E42" s="41" t="inlineStr">
        <is>
          <t>Unit Price 报价币种/件</t>
        </is>
      </c>
      <c r="F42" s="41" t="inlineStr">
        <is>
          <t>Total Amount 订单总额</t>
        </is>
      </c>
      <c r="G42" s="41" t="inlineStr">
        <is>
          <t>Trade Term 条款</t>
        </is>
      </c>
      <c r="H42" s="54" t="n"/>
      <c r="I42" s="54" t="n"/>
      <c r="J42" s="54" t="n"/>
      <c r="K42" s="42" t="inlineStr">
        <is>
          <t>外箱尺寸</t>
        </is>
      </c>
      <c r="L42" s="43">
        <f>IF(CustomerQuote!$B$12="","",Input!$G$27)</f>
        <v/>
      </c>
      <c r="M42" s="43" t="n"/>
      <c r="N42" s="43" t="n"/>
      <c r="O42" s="43" t="n"/>
      <c r="P42" s="42" t="inlineStr">
        <is>
          <t>盖板外箱</t>
        </is>
      </c>
      <c r="Q42" s="43">
        <f>IFERROR(Input!$G$34,"")</f>
        <v/>
      </c>
      <c r="R42" s="43" t="n"/>
      <c r="S42" s="43" t="n"/>
    </row>
    <row r="43" ht="22" customHeight="1" s="197">
      <c r="A43" s="43">
        <f>IFERROR(Tiers!A7,"")</f>
        <v/>
      </c>
      <c r="B43" s="43">
        <f>IFERROR(Tiers!B7,"")</f>
        <v/>
      </c>
      <c r="C43" s="43">
        <f>IFERROR(Tiers!C7,"")</f>
        <v/>
      </c>
      <c r="D43" s="43">
        <f>IFERROR(Tiers!D7,"")</f>
        <v/>
      </c>
      <c r="E43" s="43">
        <f>IFERROR(Tiers!E7,"")</f>
        <v/>
      </c>
      <c r="F43" s="43">
        <f>IFERROR(Tiers!F7,"")</f>
        <v/>
      </c>
      <c r="G43" s="43">
        <f>IFERROR(Tiers!G7,"")</f>
        <v/>
      </c>
      <c r="H43" s="54" t="n"/>
      <c r="I43" s="54" t="n"/>
      <c r="J43" s="54" t="n"/>
      <c r="K43" s="42" t="inlineStr">
        <is>
          <t>单件 CBM</t>
        </is>
      </c>
      <c r="L43" s="43">
        <f>IF(CustomerQuote!$B$12="","",Input!$E$27)</f>
        <v/>
      </c>
      <c r="M43" s="43" t="n"/>
      <c r="N43" s="43" t="n"/>
      <c r="O43" s="43" t="n"/>
      <c r="P43" s="42" t="inlineStr">
        <is>
          <t>盖板参考物流/套</t>
        </is>
      </c>
      <c r="Q43" s="43">
        <f>IFERROR(Input!$G$40,"")</f>
        <v/>
      </c>
      <c r="R43" s="43" t="n"/>
      <c r="S43" s="43" t="n"/>
    </row>
    <row r="44" ht="22" customHeight="1" s="197">
      <c r="A44" s="43">
        <f>IFERROR(Tiers!A8,"")</f>
        <v/>
      </c>
      <c r="B44" s="43">
        <f>IFERROR(Tiers!B8,"")</f>
        <v/>
      </c>
      <c r="C44" s="43">
        <f>IFERROR(Tiers!C8,"")</f>
        <v/>
      </c>
      <c r="D44" s="43">
        <f>IFERROR(Tiers!D8,"")</f>
        <v/>
      </c>
      <c r="E44" s="43">
        <f>IFERROR(Tiers!E8,"")</f>
        <v/>
      </c>
      <c r="F44" s="43">
        <f>IFERROR(Tiers!F8,"")</f>
        <v/>
      </c>
      <c r="G44" s="43">
        <f>IFERROR(Tiers!G8,"")</f>
        <v/>
      </c>
      <c r="H44" s="54" t="n"/>
      <c r="I44" s="54" t="n"/>
      <c r="J44" s="54" t="n"/>
      <c r="K44" s="42" t="inlineStr">
        <is>
          <t>单件毛重 KG</t>
        </is>
      </c>
      <c r="L44" s="43">
        <f>IF(CustomerQuote!$B$12="","",Input!$E$28)</f>
        <v/>
      </c>
      <c r="M44" s="43" t="n"/>
      <c r="N44" s="43" t="n"/>
      <c r="O44" s="43" t="n"/>
      <c r="P44" s="42" t="inlineStr">
        <is>
          <t>盖板报价处理</t>
        </is>
      </c>
      <c r="Q44" s="43" t="inlineStr">
        <is>
          <t>不计入</t>
        </is>
      </c>
      <c r="R44" s="43" t="n"/>
      <c r="S44" s="43" t="n"/>
    </row>
    <row r="45" ht="22" customHeight="1" s="197">
      <c r="A45" s="43">
        <f>IFERROR(Tiers!A9,"")</f>
        <v/>
      </c>
      <c r="B45" s="43">
        <f>IFERROR(Tiers!B9,"")</f>
        <v/>
      </c>
      <c r="C45" s="43">
        <f>IFERROR(Tiers!C9,"")</f>
        <v/>
      </c>
      <c r="D45" s="43">
        <f>IFERROR(Tiers!D9,"")</f>
        <v/>
      </c>
      <c r="E45" s="43">
        <f>IFERROR(Tiers!E9,"")</f>
        <v/>
      </c>
      <c r="F45" s="43">
        <f>IFERROR(Tiers!F9,"")</f>
        <v/>
      </c>
      <c r="G45" s="43">
        <f>IFERROR(Tiers!G9,"")</f>
        <v/>
      </c>
      <c r="H45" s="54" t="n"/>
      <c r="I45" s="54" t="n"/>
      <c r="J45" s="54" t="n"/>
      <c r="K45" s="42" t="inlineStr">
        <is>
          <t>装柜量</t>
        </is>
      </c>
      <c r="L45" s="43">
        <f>IF(CustomerQuote!$B$12="","",Input!$I$11)</f>
        <v/>
      </c>
      <c r="M45" s="43" t="n"/>
      <c r="N45" s="43" t="n"/>
      <c r="O45" s="43" t="n"/>
      <c r="P45" s="42" t="inlineStr">
        <is>
          <t>盖板限制</t>
        </is>
      </c>
      <c r="Q45" s="43">
        <f>IFERROR(Input!$G$42,"")</f>
        <v/>
      </c>
      <c r="R45" s="43" t="n"/>
      <c r="S45" s="43" t="n"/>
    </row>
    <row r="46" ht="22" customHeight="1" s="197">
      <c r="A46" s="43">
        <f>IFERROR(Tiers!A10,"")</f>
        <v/>
      </c>
      <c r="B46" s="43">
        <f>IFERROR(Tiers!B10,"")</f>
        <v/>
      </c>
      <c r="C46" s="43">
        <f>IFERROR(Tiers!C10,"")</f>
        <v/>
      </c>
      <c r="D46" s="43">
        <f>IFERROR(Tiers!D10,"")</f>
        <v/>
      </c>
      <c r="E46" s="43">
        <f>IFERROR(Tiers!E10,"")</f>
        <v/>
      </c>
      <c r="F46" s="43">
        <f>IFERROR(Tiers!F10,"")</f>
        <v/>
      </c>
      <c r="G46" s="43">
        <f>IFERROR(Tiers!G10,"")</f>
        <v/>
      </c>
      <c r="H46" s="54" t="n"/>
      <c r="I46" s="54" t="n"/>
      <c r="J46" s="54" t="n"/>
      <c r="K46" s="42" t="inlineStr">
        <is>
          <t>产品装柜限制</t>
        </is>
      </c>
      <c r="L46" s="43">
        <f>IF(CustomerQuote!$B$12="","",Packing!$B$37)</f>
        <v/>
      </c>
      <c r="M46" s="43" t="n"/>
      <c r="N46" s="43" t="n"/>
      <c r="O46" s="43" t="n"/>
      <c r="P46" s="42" t="inlineStr">
        <is>
          <t>说明</t>
        </is>
      </c>
      <c r="Q46" s="43" t="inlineStr">
        <is>
          <t>盖板独立物流选择“是”且含盖板才计入。</t>
        </is>
      </c>
      <c r="R46" s="43" t="n"/>
      <c r="S46" s="43" t="n"/>
    </row>
    <row r="47" ht="22" customHeight="1" s="197">
      <c r="A47" s="54" t="n"/>
      <c r="B47" s="54" t="n"/>
      <c r="C47" s="54" t="n"/>
      <c r="D47" s="54" t="n"/>
      <c r="E47" s="54" t="n"/>
      <c r="F47" s="54" t="n"/>
      <c r="G47" s="54" t="n"/>
      <c r="H47" s="54" t="n"/>
      <c r="I47" s="54" t="n"/>
      <c r="J47" s="54" t="n"/>
      <c r="K47" s="54" t="n"/>
      <c r="L47" s="54" t="n"/>
      <c r="M47" s="54" t="n"/>
      <c r="N47" s="54" t="n"/>
      <c r="O47" s="54" t="n"/>
      <c r="P47" s="54" t="n"/>
      <c r="Q47" s="54" t="n"/>
      <c r="R47" s="54" t="n"/>
      <c r="S47" s="54" t="n"/>
    </row>
    <row r="48" ht="42" customHeight="1" s="197">
      <c r="A48" s="44" t="inlineStr">
        <is>
          <t>旧表使用提示</t>
        </is>
      </c>
      <c r="B48" s="221" t="inlineStr">
        <is>
          <t>黄色底色 = 可手填/可改；J列与新版模型同步；正式报价请优先看 J38 / Q4；若状态为 待填写 或 DDP，禁止外发。</t>
        </is>
      </c>
      <c r="C48" s="222" t="n"/>
      <c r="D48" s="222" t="n"/>
      <c r="E48" s="222" t="n"/>
      <c r="F48" s="222" t="n"/>
      <c r="G48" s="222" t="n"/>
      <c r="H48" s="222" t="n"/>
      <c r="I48" s="222" t="n"/>
      <c r="J48" s="222" t="n"/>
      <c r="K48" s="222" t="n"/>
      <c r="L48" s="222" t="n"/>
      <c r="M48" s="222" t="n"/>
      <c r="N48" s="222" t="n"/>
      <c r="O48" s="222" t="n"/>
      <c r="P48" s="222" t="n"/>
      <c r="Q48" s="222" t="n"/>
      <c r="R48" s="222" t="n"/>
      <c r="S48" s="223" t="n"/>
    </row>
  </sheetData>
  <mergeCells count="13">
    <mergeCell ref="A27:A28"/>
    <mergeCell ref="B48:S48"/>
    <mergeCell ref="A16:A22"/>
    <mergeCell ref="A23:A26"/>
    <mergeCell ref="E3:F7"/>
    <mergeCell ref="K41:S41"/>
    <mergeCell ref="A1:S1"/>
    <mergeCell ref="A37:A38"/>
    <mergeCell ref="A10:A15"/>
    <mergeCell ref="A32:A34"/>
    <mergeCell ref="A41:G41"/>
    <mergeCell ref="A2:S2"/>
    <mergeCell ref="A30:A3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P68"/>
  <sheetViews>
    <sheetView showGridLines="0" workbookViewId="0">
      <selection activeCell="B36" sqref="B36"/>
    </sheetView>
  </sheetViews>
  <sheetFormatPr baseColWidth="8" defaultColWidth="8.6328125" defaultRowHeight="14"/>
  <cols>
    <col width="19.453125" customWidth="1" style="189" min="1" max="1"/>
    <col width="15.1796875" customWidth="1" style="189" min="2" max="2"/>
    <col width="37" customWidth="1" style="189" min="3" max="3"/>
    <col width="8.6328125" customWidth="1" style="189" min="4" max="5"/>
    <col width="16.1796875" customWidth="1" style="189" min="6" max="11"/>
    <col width="8.6328125" customWidth="1" style="189" min="12" max="12"/>
    <col width="9" customWidth="1" style="189" min="13" max="16"/>
    <col width="8.6328125" customWidth="1" style="189" min="17" max="25"/>
    <col width="8.6328125" customWidth="1" style="189" min="26" max="16384"/>
  </cols>
  <sheetData>
    <row r="1" ht="20" customHeight="1" s="197">
      <c r="A1" s="231" t="inlineStr">
        <is>
          <t>包装与装柜测算</t>
        </is>
      </c>
      <c r="B1" s="189" t="n"/>
      <c r="C1" s="189" t="n"/>
      <c r="D1" s="189" t="n"/>
      <c r="E1" s="189" t="n"/>
      <c r="F1" s="189" t="n"/>
      <c r="G1" s="189" t="n"/>
      <c r="H1" s="189" t="n"/>
      <c r="I1" s="189" t="n"/>
      <c r="J1" s="189" t="n"/>
      <c r="K1" s="54" t="n"/>
      <c r="L1" s="54" t="n"/>
      <c r="M1" s="54" t="n"/>
      <c r="N1" s="54" t="n"/>
      <c r="O1" s="54" t="n"/>
      <c r="P1" s="54" t="n"/>
    </row>
    <row r="2" ht="24" customHeight="1" s="197">
      <c r="A2" s="233" t="inlineStr">
        <is>
          <t>自动测算页：不要在这里改。回第一个“填写首页”或 Input 黄色格修改尺寸、净重、每箱件数和柜型。</t>
        </is>
      </c>
      <c r="B2" s="189" t="n"/>
      <c r="C2" s="189" t="n"/>
      <c r="D2" s="189" t="n"/>
      <c r="E2" s="189" t="n"/>
      <c r="F2" s="189" t="n"/>
      <c r="G2" s="189" t="n"/>
      <c r="H2" s="189" t="n"/>
      <c r="I2" s="189" t="n"/>
      <c r="J2" s="189" t="n"/>
      <c r="K2" s="54" t="n"/>
      <c r="L2" s="54" t="n"/>
      <c r="M2" s="54" t="n"/>
      <c r="N2" s="54" t="n"/>
      <c r="O2" s="54" t="n"/>
      <c r="P2" s="54" t="n"/>
    </row>
    <row r="3">
      <c r="A3" s="232" t="inlineStr">
        <is>
          <t>当前包装结果</t>
        </is>
      </c>
      <c r="B3" s="189" t="n"/>
      <c r="C3" s="189" t="n"/>
      <c r="D3" s="54" t="n"/>
      <c r="E3" s="54" t="n"/>
      <c r="F3" s="232" t="inlineStr">
        <is>
          <t>品类包装规则</t>
        </is>
      </c>
      <c r="G3" s="189" t="n"/>
      <c r="H3" s="189" t="n"/>
      <c r="I3" s="189" t="n"/>
      <c r="J3" s="189" t="n"/>
      <c r="K3" s="189" t="n"/>
      <c r="L3" s="54" t="n"/>
      <c r="M3" s="232" t="inlineStr">
        <is>
          <t>每箱件数排布表</t>
        </is>
      </c>
      <c r="N3" s="189" t="n"/>
      <c r="O3" s="189" t="n"/>
      <c r="P3" s="189" t="n"/>
    </row>
    <row r="4">
      <c r="A4" s="232" t="inlineStr">
        <is>
          <t>项目</t>
        </is>
      </c>
      <c r="B4" s="232" t="inlineStr">
        <is>
          <t>当前值</t>
        </is>
      </c>
      <c r="C4" s="232" t="inlineStr">
        <is>
          <t>说明</t>
        </is>
      </c>
      <c r="D4" s="54" t="n"/>
      <c r="E4" s="54" t="n"/>
      <c r="F4" s="232" t="inlineStr">
        <is>
          <t>产品品类</t>
        </is>
      </c>
      <c r="G4" s="232" t="inlineStr">
        <is>
          <t>包装方式</t>
        </is>
      </c>
      <c r="H4" s="232" t="inlineStr">
        <is>
          <t>外箱外扩/边</t>
        </is>
      </c>
      <c r="I4" s="232" t="inlineStr">
        <is>
          <t>内包外扩/边</t>
        </is>
      </c>
      <c r="J4" s="232" t="inlineStr">
        <is>
          <t>纸板密度KG/㎡</t>
        </is>
      </c>
      <c r="K4" s="232" t="inlineStr">
        <is>
          <t>辅材KG/件</t>
        </is>
      </c>
      <c r="L4" s="54" t="n"/>
      <c r="M4" s="232" t="inlineStr">
        <is>
          <t>每箱件数</t>
        </is>
      </c>
      <c r="N4" s="232" t="inlineStr">
        <is>
          <t>X</t>
        </is>
      </c>
      <c r="O4" s="232" t="inlineStr">
        <is>
          <t>Y</t>
        </is>
      </c>
      <c r="P4" s="232" t="inlineStr">
        <is>
          <t>Z</t>
        </is>
      </c>
    </row>
    <row r="5">
      <c r="A5" s="105" t="inlineStr">
        <is>
          <t>产品品类</t>
        </is>
      </c>
      <c r="B5" s="67">
        <f>IFERROR(Input!$B$9,"")</f>
        <v/>
      </c>
      <c r="C5" s="106" t="inlineStr">
        <is>
          <t>来自 Input!B9</t>
        </is>
      </c>
      <c r="D5" s="54" t="n"/>
      <c r="E5" s="54" t="n"/>
      <c r="F5" s="76" t="inlineStr">
        <is>
          <t>分体马桶</t>
        </is>
      </c>
      <c r="G5" s="76" t="inlineStr">
        <is>
          <t>单套外箱</t>
        </is>
      </c>
      <c r="H5" s="76" t="n">
        <v>15</v>
      </c>
      <c r="I5" s="76" t="n">
        <v>5</v>
      </c>
      <c r="J5" s="76" t="n">
        <v>0.82</v>
      </c>
      <c r="K5" s="76" t="n">
        <v>4.2</v>
      </c>
      <c r="L5" s="54" t="n"/>
      <c r="M5" s="8" t="n">
        <v>1</v>
      </c>
      <c r="N5" s="8" t="n">
        <v>1</v>
      </c>
      <c r="O5" s="8" t="n">
        <v>1</v>
      </c>
      <c r="P5" s="8" t="n">
        <v>1</v>
      </c>
    </row>
    <row r="6">
      <c r="A6" s="105" t="inlineStr">
        <is>
          <t>包装方式</t>
        </is>
      </c>
      <c r="B6" s="67">
        <f>IFERROR(VLOOKUP($B$5,$F$5:$K$10,2,FALSE),"")</f>
        <v/>
      </c>
      <c r="C6" s="106" t="inlineStr">
        <is>
          <t>按品类规则自动带出</t>
        </is>
      </c>
      <c r="D6" s="54" t="n"/>
      <c r="E6" s="54" t="n"/>
      <c r="F6" s="76" t="inlineStr">
        <is>
          <t>连体马桶</t>
        </is>
      </c>
      <c r="G6" s="76" t="inlineStr">
        <is>
          <t>单套外箱</t>
        </is>
      </c>
      <c r="H6" s="76" t="n">
        <v>15</v>
      </c>
      <c r="I6" s="76" t="n">
        <v>5</v>
      </c>
      <c r="J6" s="76" t="n">
        <v>0.82</v>
      </c>
      <c r="K6" s="76" t="n">
        <v>5.2</v>
      </c>
      <c r="L6" s="54" t="n"/>
      <c r="M6" s="8" t="n">
        <v>2</v>
      </c>
      <c r="N6" s="8" t="n">
        <v>1</v>
      </c>
      <c r="O6" s="8" t="n">
        <v>1</v>
      </c>
      <c r="P6" s="8" t="n">
        <v>2</v>
      </c>
    </row>
    <row r="7">
      <c r="A7" s="105" t="inlineStr">
        <is>
          <t>每箱件数</t>
        </is>
      </c>
      <c r="B7" s="75">
        <f>IFERROR(MAX(1,Input!$E$26),"")</f>
        <v/>
      </c>
      <c r="C7" s="106" t="inlineStr">
        <is>
          <t>来自 Input!E26，可在 Input 手动调整</t>
        </is>
      </c>
      <c r="D7" s="54" t="n"/>
      <c r="E7" s="54" t="n"/>
      <c r="F7" s="76" t="inlineStr">
        <is>
          <t>挂墙马桶</t>
        </is>
      </c>
      <c r="G7" s="76" t="inlineStr">
        <is>
          <t>单套外箱</t>
        </is>
      </c>
      <c r="H7" s="76" t="n">
        <v>15</v>
      </c>
      <c r="I7" s="76" t="n">
        <v>5</v>
      </c>
      <c r="J7" s="76" t="n">
        <v>0.82</v>
      </c>
      <c r="K7" s="76" t="n">
        <v>3.6</v>
      </c>
      <c r="L7" s="54" t="n"/>
      <c r="M7" s="8" t="n">
        <v>3</v>
      </c>
      <c r="N7" s="8" t="n">
        <v>1</v>
      </c>
      <c r="O7" s="8" t="n">
        <v>1</v>
      </c>
      <c r="P7" s="8" t="n">
        <v>3</v>
      </c>
    </row>
    <row r="8">
      <c r="A8" s="105" t="inlineStr">
        <is>
          <t>产品长 mm</t>
        </is>
      </c>
      <c r="B8" s="75">
        <f>IFERROR(Input!$E$22,"")</f>
        <v/>
      </c>
      <c r="C8" s="106" t="inlineStr">
        <is>
          <t>产品本体尺寸</t>
        </is>
      </c>
      <c r="D8" s="54" t="n"/>
      <c r="E8" s="54" t="n"/>
      <c r="F8" s="76" t="inlineStr">
        <is>
          <t>台上盆</t>
        </is>
      </c>
      <c r="G8" s="76" t="inlineStr">
        <is>
          <t>单盆外箱</t>
        </is>
      </c>
      <c r="H8" s="76" t="n">
        <v>14</v>
      </c>
      <c r="I8" s="76" t="n">
        <v>5</v>
      </c>
      <c r="J8" s="76" t="n">
        <v>0.8</v>
      </c>
      <c r="K8" s="76" t="n">
        <v>2.1</v>
      </c>
      <c r="L8" s="54" t="n"/>
      <c r="M8" s="8" t="n">
        <v>4</v>
      </c>
      <c r="N8" s="8" t="n">
        <v>2</v>
      </c>
      <c r="O8" s="8" t="n">
        <v>2</v>
      </c>
      <c r="P8" s="8" t="n">
        <v>1</v>
      </c>
    </row>
    <row r="9">
      <c r="A9" s="105" t="inlineStr">
        <is>
          <t>产品宽 mm</t>
        </is>
      </c>
      <c r="B9" s="75">
        <f>IFERROR(Input!$E$23,"")</f>
        <v/>
      </c>
      <c r="C9" s="106" t="inlineStr">
        <is>
          <t>产品本体尺寸</t>
        </is>
      </c>
      <c r="D9" s="54" t="n"/>
      <c r="E9" s="54" t="n"/>
      <c r="F9" s="76" t="inlineStr">
        <is>
          <t>台下盆</t>
        </is>
      </c>
      <c r="G9" s="76" t="inlineStr">
        <is>
          <t>单盆外箱</t>
        </is>
      </c>
      <c r="H9" s="76" t="n">
        <v>14</v>
      </c>
      <c r="I9" s="76" t="n">
        <v>5</v>
      </c>
      <c r="J9" s="76" t="n">
        <v>0.8</v>
      </c>
      <c r="K9" s="76" t="n">
        <v>1.8</v>
      </c>
      <c r="L9" s="54" t="n"/>
      <c r="M9" s="8" t="n">
        <v>5</v>
      </c>
      <c r="N9" s="8" t="n">
        <v>1</v>
      </c>
      <c r="O9" s="8" t="n">
        <v>1</v>
      </c>
      <c r="P9" s="8" t="n">
        <v>5</v>
      </c>
    </row>
    <row r="10">
      <c r="A10" s="105" t="inlineStr">
        <is>
          <t>产品高 mm</t>
        </is>
      </c>
      <c r="B10" s="75">
        <f>IFERROR(Input!$E$24,"")</f>
        <v/>
      </c>
      <c r="C10" s="106" t="inlineStr">
        <is>
          <t>产品本体尺寸</t>
        </is>
      </c>
      <c r="D10" s="54" t="n"/>
      <c r="E10" s="54" t="n"/>
      <c r="F10" s="76" t="inlineStr">
        <is>
          <t>立柱盆/半柱盆</t>
        </is>
      </c>
      <c r="G10" s="76" t="inlineStr">
        <is>
          <t>单套外箱</t>
        </is>
      </c>
      <c r="H10" s="76" t="n">
        <v>15</v>
      </c>
      <c r="I10" s="76" t="n">
        <v>5</v>
      </c>
      <c r="J10" s="76" t="n">
        <v>0.82</v>
      </c>
      <c r="K10" s="76" t="n">
        <v>3.1</v>
      </c>
      <c r="L10" s="54" t="n"/>
      <c r="M10" s="8" t="n">
        <v>6</v>
      </c>
      <c r="N10" s="8" t="n">
        <v>1</v>
      </c>
      <c r="O10" s="8" t="n">
        <v>2</v>
      </c>
      <c r="P10" s="8" t="n">
        <v>3</v>
      </c>
    </row>
    <row r="11">
      <c r="A11" s="105" t="inlineStr">
        <is>
          <t>外箱单边外扩 mm</t>
        </is>
      </c>
      <c r="B11" s="75">
        <f>IFERROR(VLOOKUP($B$5,$F$5:$K$10,3,FALSE),15)</f>
        <v/>
      </c>
      <c r="C11" s="106" t="inlineStr">
        <is>
          <t>参考 HTML 包装外扩规则</t>
        </is>
      </c>
      <c r="D11" s="54" t="n"/>
      <c r="E11" s="54" t="n"/>
      <c r="F11" s="54" t="n"/>
      <c r="G11" s="54" t="n"/>
      <c r="H11" s="54" t="n"/>
      <c r="I11" s="54" t="n"/>
      <c r="J11" s="54" t="n"/>
      <c r="K11" s="54" t="n"/>
      <c r="L11" s="54" t="n"/>
      <c r="M11" s="8" t="n">
        <v>7</v>
      </c>
      <c r="N11" s="8" t="n">
        <v>1</v>
      </c>
      <c r="O11" s="8" t="n">
        <v>1</v>
      </c>
      <c r="P11" s="8" t="n">
        <v>7</v>
      </c>
    </row>
    <row r="12">
      <c r="A12" s="105" t="inlineStr">
        <is>
          <t>内包单边外扩 mm</t>
        </is>
      </c>
      <c r="B12" s="75">
        <f>IFERROR(VLOOKUP($B$5,$F$5:$K$10,4,FALSE),5)</f>
        <v/>
      </c>
      <c r="C12" s="106" t="inlineStr">
        <is>
          <t>每件内包缓冲</t>
        </is>
      </c>
      <c r="D12" s="54" t="n"/>
      <c r="E12" s="54" t="n"/>
      <c r="F12" s="54" t="n"/>
      <c r="G12" s="54" t="n"/>
      <c r="H12" s="54" t="n"/>
      <c r="I12" s="54" t="n"/>
      <c r="J12" s="54" t="n"/>
      <c r="K12" s="54" t="n"/>
      <c r="L12" s="54" t="n"/>
      <c r="M12" s="8" t="n">
        <v>8</v>
      </c>
      <c r="N12" s="8" t="n">
        <v>2</v>
      </c>
      <c r="O12" s="8" t="n">
        <v>2</v>
      </c>
      <c r="P12" s="8" t="n">
        <v>2</v>
      </c>
    </row>
    <row r="13">
      <c r="A13" s="105" t="inlineStr">
        <is>
          <t>纸板密度 KG/㎡</t>
        </is>
      </c>
      <c r="B13" s="68">
        <f>IFERROR(VLOOKUP($B$5,$F$5:$K$10,5,FALSE),0.82)</f>
        <v/>
      </c>
      <c r="C13" s="106" t="inlineStr">
        <is>
          <t>用于估算纸箱重量</t>
        </is>
      </c>
      <c r="D13" s="54" t="n"/>
      <c r="E13" s="54" t="n"/>
      <c r="F13" s="232" t="inlineStr">
        <is>
          <t>柜型装载参数</t>
        </is>
      </c>
      <c r="G13" s="189" t="n"/>
      <c r="H13" s="189" t="n"/>
      <c r="I13" s="189" t="n"/>
      <c r="J13" s="189" t="n"/>
      <c r="K13" s="54" t="n"/>
      <c r="L13" s="54" t="n"/>
      <c r="M13" s="8" t="n">
        <v>9</v>
      </c>
      <c r="N13" s="8" t="n">
        <v>1</v>
      </c>
      <c r="O13" s="8" t="n">
        <v>3</v>
      </c>
      <c r="P13" s="8" t="n">
        <v>3</v>
      </c>
    </row>
    <row r="14">
      <c r="A14" s="105" t="inlineStr">
        <is>
          <t>辅材重量 KG/件</t>
        </is>
      </c>
      <c r="B14" s="68">
        <f>IFERROR(VLOOKUP($B$5,$F$5:$K$10,6,FALSE),3)</f>
        <v/>
      </c>
      <c r="C14" s="106" t="inlineStr">
        <is>
          <t>泡沫、护角、配件小包等</t>
        </is>
      </c>
      <c r="D14" s="54" t="n"/>
      <c r="E14" s="54" t="n"/>
      <c r="F14" s="232" t="inlineStr">
        <is>
          <t>柜型</t>
        </is>
      </c>
      <c r="G14" s="232" t="inlineStr">
        <is>
          <t>柜内容积CBM</t>
        </is>
      </c>
      <c r="H14" s="232" t="inlineStr">
        <is>
          <t>有效装载CBM</t>
        </is>
      </c>
      <c r="I14" s="232" t="inlineStr">
        <is>
          <t>限重KG</t>
        </is>
      </c>
      <c r="J14" s="232" t="inlineStr">
        <is>
          <t>说明</t>
        </is>
      </c>
      <c r="K14" s="54" t="n"/>
      <c r="L14" s="54" t="n"/>
      <c r="M14" s="8" t="n">
        <v>10</v>
      </c>
      <c r="N14" s="8" t="n">
        <v>1</v>
      </c>
      <c r="O14" s="8" t="n">
        <v>2</v>
      </c>
      <c r="P14" s="8" t="n">
        <v>5</v>
      </c>
    </row>
    <row r="15" ht="42" customHeight="1" s="197">
      <c r="A15" s="105" t="inlineStr">
        <is>
          <t>排布 X</t>
        </is>
      </c>
      <c r="B15" s="75">
        <f>IFERROR(VLOOKUP($B$7,$M$5:$P$18,2,FALSE),1)</f>
        <v/>
      </c>
      <c r="C15" s="106" t="inlineStr">
        <is>
          <t>多件/箱时使用</t>
        </is>
      </c>
      <c r="D15" s="54" t="n"/>
      <c r="E15" s="54" t="n"/>
      <c r="F15" s="76" t="inlineStr">
        <is>
          <t>40HQ</t>
        </is>
      </c>
      <c r="G15" s="76" t="n">
        <v>66</v>
      </c>
      <c r="H15" s="76" t="n">
        <v>66</v>
      </c>
      <c r="I15" s="76" t="n">
        <v>26500</v>
      </c>
      <c r="J15" s="76" t="inlineStr">
        <is>
          <t>常规高柜，参考 HTML 40HQ 常规装柜</t>
        </is>
      </c>
      <c r="K15" s="54" t="n"/>
      <c r="L15" s="54" t="n"/>
      <c r="M15" s="8" t="n">
        <v>11</v>
      </c>
      <c r="N15" s="8" t="n">
        <v>1</v>
      </c>
      <c r="O15" s="8" t="n">
        <v>1</v>
      </c>
      <c r="P15" s="8" t="n">
        <v>11</v>
      </c>
    </row>
    <row r="16" ht="28" customHeight="1" s="197">
      <c r="A16" s="105" t="inlineStr">
        <is>
          <t>排布 Y</t>
        </is>
      </c>
      <c r="B16" s="75">
        <f>IFERROR(VLOOKUP($B$7,$M$5:$P$18,3,FALSE),1)</f>
        <v/>
      </c>
      <c r="C16" s="106" t="inlineStr">
        <is>
          <t>多件/箱时使用</t>
        </is>
      </c>
      <c r="D16" s="54" t="n"/>
      <c r="E16" s="54" t="n"/>
      <c r="F16" s="76" t="inlineStr">
        <is>
          <t>40GP</t>
        </is>
      </c>
      <c r="G16" s="76" t="n">
        <v>58</v>
      </c>
      <c r="H16" s="76" t="n">
        <v>56</v>
      </c>
      <c r="I16" s="76" t="n">
        <v>26500</v>
      </c>
      <c r="J16" s="76" t="inlineStr">
        <is>
          <t>普柜，按常用可用体积保守估算</t>
        </is>
      </c>
      <c r="K16" s="54" t="n"/>
      <c r="L16" s="54" t="n"/>
      <c r="M16" s="8" t="n">
        <v>12</v>
      </c>
      <c r="N16" s="8" t="n">
        <v>2</v>
      </c>
      <c r="O16" s="8" t="n">
        <v>2</v>
      </c>
      <c r="P16" s="8" t="n">
        <v>3</v>
      </c>
    </row>
    <row r="17" ht="28" customHeight="1" s="197">
      <c r="A17" s="105" t="inlineStr">
        <is>
          <t>排布 Z</t>
        </is>
      </c>
      <c r="B17" s="75">
        <f>IFERROR(VLOOKUP($B$7,$M$5:$P$18,4,FALSE),$B$7)</f>
        <v/>
      </c>
      <c r="C17" s="106" t="inlineStr">
        <is>
          <t>多件/箱时使用</t>
        </is>
      </c>
      <c r="D17" s="54" t="n"/>
      <c r="E17" s="54" t="n"/>
      <c r="F17" s="76" t="inlineStr">
        <is>
          <t>20GP</t>
        </is>
      </c>
      <c r="G17" s="76" t="n">
        <v>28</v>
      </c>
      <c r="H17" s="76" t="n">
        <v>25.8</v>
      </c>
      <c r="I17" s="76" t="n">
        <v>21500</v>
      </c>
      <c r="J17" s="76" t="inlineStr">
        <is>
          <t>参考 HTML 20GP 常规装柜</t>
        </is>
      </c>
      <c r="K17" s="54" t="n"/>
      <c r="L17" s="54" t="n"/>
      <c r="M17" s="8" t="n">
        <v>24</v>
      </c>
      <c r="N17" s="8" t="n">
        <v>2</v>
      </c>
      <c r="O17" s="8" t="n">
        <v>3</v>
      </c>
      <c r="P17" s="8" t="n">
        <v>4</v>
      </c>
    </row>
    <row r="18">
      <c r="A18" s="105" t="inlineStr">
        <is>
          <t>外箱长 mm</t>
        </is>
      </c>
      <c r="B18" s="75">
        <f>IFERROR(IF($B$7&gt;1,($B$8+$B$12*2)*$B$15+$B$11*2,$B$8+$B$11*2),"")</f>
        <v/>
      </c>
      <c r="C18" s="106" t="inlineStr">
        <is>
          <t>产品尺寸 + 内包 + 外箱外扩</t>
        </is>
      </c>
      <c r="D18" s="54" t="n"/>
      <c r="E18" s="54" t="n"/>
      <c r="F18" s="54" t="n"/>
      <c r="G18" s="54" t="n"/>
      <c r="H18" s="54" t="n"/>
      <c r="I18" s="54" t="n"/>
      <c r="J18" s="54" t="n"/>
      <c r="K18" s="54" t="n"/>
      <c r="L18" s="54" t="n"/>
      <c r="M18" s="8" t="n">
        <v>50</v>
      </c>
      <c r="N18" s="8" t="n">
        <v>5</v>
      </c>
      <c r="O18" s="8" t="n">
        <v>5</v>
      </c>
      <c r="P18" s="8" t="n">
        <v>2</v>
      </c>
    </row>
    <row r="19">
      <c r="A19" s="105" t="inlineStr">
        <is>
          <t>外箱宽 mm</t>
        </is>
      </c>
      <c r="B19" s="75">
        <f>IFERROR(IF($B$7&gt;1,($B$9+$B$12*2)*$B$16+$B$11*2,$B$9+$B$11*2),"")</f>
        <v/>
      </c>
      <c r="C19" s="106" t="inlineStr">
        <is>
          <t>产品尺寸 + 内包 + 外箱外扩</t>
        </is>
      </c>
      <c r="D19" s="54" t="n"/>
      <c r="E19" s="54" t="n"/>
      <c r="F19" s="54" t="n"/>
      <c r="G19" s="54" t="n"/>
      <c r="H19" s="54" t="n"/>
      <c r="I19" s="54" t="n"/>
      <c r="J19" s="54" t="n"/>
      <c r="K19" s="54" t="n"/>
      <c r="L19" s="54" t="n"/>
      <c r="M19" s="54" t="n"/>
      <c r="N19" s="54" t="n"/>
      <c r="O19" s="54" t="n"/>
      <c r="P19" s="54" t="n"/>
    </row>
    <row r="20">
      <c r="A20" s="105" t="inlineStr">
        <is>
          <t>外箱高 mm</t>
        </is>
      </c>
      <c r="B20" s="75">
        <f>IFERROR(IF($B$7&gt;1,($B$10+$B$12*2)*$B$17+$B$11*2,$B$10+$B$11*2),"")</f>
        <v/>
      </c>
      <c r="C20" s="106" t="inlineStr">
        <is>
          <t>产品尺寸 + 内包 + 外箱外扩</t>
        </is>
      </c>
      <c r="D20" s="54" t="n"/>
      <c r="E20" s="54" t="n"/>
      <c r="F20" s="54" t="n"/>
      <c r="G20" s="54" t="n"/>
      <c r="H20" s="54" t="n"/>
      <c r="I20" s="54" t="n"/>
      <c r="J20" s="54" t="n"/>
      <c r="K20" s="54" t="n"/>
      <c r="L20" s="54" t="n"/>
      <c r="M20" s="54" t="n"/>
      <c r="N20" s="54" t="n"/>
      <c r="O20" s="54" t="n"/>
      <c r="P20" s="54" t="n"/>
    </row>
    <row r="21">
      <c r="A21" s="105" t="inlineStr">
        <is>
          <t>单箱 CBM</t>
        </is>
      </c>
      <c r="B21" s="253">
        <f>IFERROR($B$18*$B$19*$B$20/1000000000,0)</f>
        <v/>
      </c>
      <c r="C21" s="106" t="inlineStr">
        <is>
          <t>外箱长 × 宽 × 高</t>
        </is>
      </c>
      <c r="D21" s="54" t="n"/>
      <c r="E21" s="54" t="n"/>
      <c r="F21" s="54" t="n"/>
      <c r="G21" s="54" t="n"/>
      <c r="H21" s="54" t="n"/>
      <c r="I21" s="54" t="n"/>
      <c r="J21" s="54" t="n"/>
      <c r="K21" s="54" t="n"/>
      <c r="L21" s="54" t="n"/>
      <c r="M21" s="54" t="n"/>
      <c r="N21" s="54" t="n"/>
      <c r="O21" s="54" t="n"/>
      <c r="P21" s="54" t="n"/>
    </row>
    <row r="22">
      <c r="A22" s="105" t="inlineStr">
        <is>
          <t>单件摊分 CBM</t>
        </is>
      </c>
      <c r="B22" s="253">
        <f>IFERROR($B$21/$B$7,0)</f>
        <v/>
      </c>
      <c r="C22" s="106" t="inlineStr">
        <is>
          <t>单箱 CBM / 每箱件数</t>
        </is>
      </c>
      <c r="D22" s="54" t="n"/>
      <c r="E22" s="54" t="n"/>
      <c r="F22" s="54" t="n"/>
      <c r="G22" s="54" t="n"/>
      <c r="H22" s="54" t="n"/>
      <c r="I22" s="54" t="n"/>
      <c r="J22" s="54" t="n"/>
      <c r="K22" s="54" t="n"/>
      <c r="L22" s="54" t="n"/>
      <c r="M22" s="54" t="n"/>
      <c r="N22" s="54" t="n"/>
      <c r="O22" s="54" t="n"/>
      <c r="P22" s="54" t="n"/>
    </row>
    <row r="23">
      <c r="A23" s="105" t="inlineStr">
        <is>
          <t>纸箱展开面积 ㎡</t>
        </is>
      </c>
      <c r="B23" s="253">
        <f>IFERROR(IF(AND($B$18&gt;0,$B$19&gt;0,$B$20&gt;0),2*(($B$18/1000)*($B$19/1000)+($B$18/1000)*($B$20/1000)+($B$19/1000)*($B$20/1000)),0),"")</f>
        <v/>
      </c>
      <c r="C23" s="106" t="inlineStr">
        <is>
          <t>2 × (LW + LH + WH)</t>
        </is>
      </c>
      <c r="D23" s="54" t="n"/>
      <c r="E23" s="54" t="n"/>
      <c r="F23" s="54" t="n"/>
      <c r="G23" s="54" t="n"/>
      <c r="H23" s="54" t="n"/>
      <c r="I23" s="54" t="n"/>
      <c r="J23" s="54" t="n"/>
      <c r="K23" s="54" t="n"/>
      <c r="L23" s="54" t="n"/>
      <c r="M23" s="54" t="n"/>
      <c r="N23" s="54" t="n"/>
      <c r="O23" s="54" t="n"/>
      <c r="P23" s="54" t="n"/>
    </row>
    <row r="24">
      <c r="A24" s="105" t="inlineStr">
        <is>
          <t>纸箱重量 KG</t>
        </is>
      </c>
      <c r="B24" s="68">
        <f>IFERROR($B$23*$B$13,"")</f>
        <v/>
      </c>
      <c r="C24" s="106" t="inlineStr">
        <is>
          <t>展开面积 × 纸板密度</t>
        </is>
      </c>
      <c r="D24" s="54" t="n"/>
      <c r="E24" s="54" t="n"/>
      <c r="F24" s="54" t="n"/>
      <c r="G24" s="54" t="n"/>
      <c r="H24" s="54" t="n"/>
      <c r="I24" s="54" t="n"/>
      <c r="J24" s="54" t="n"/>
      <c r="K24" s="54" t="n"/>
      <c r="L24" s="54" t="n"/>
      <c r="M24" s="54" t="n"/>
      <c r="N24" s="54" t="n"/>
      <c r="O24" s="54" t="n"/>
      <c r="P24" s="54" t="n"/>
    </row>
    <row r="25">
      <c r="A25" s="105" t="inlineStr">
        <is>
          <t>包装增重 KG/箱</t>
        </is>
      </c>
      <c r="B25" s="68">
        <f>IFERROR($B$24+$B$14*$B$7,"")</f>
        <v/>
      </c>
      <c r="C25" s="106" t="inlineStr">
        <is>
          <t>纸箱重量 + 辅材重量</t>
        </is>
      </c>
      <c r="D25" s="54" t="n"/>
      <c r="E25" s="54" t="n"/>
      <c r="F25" s="54" t="n"/>
      <c r="G25" s="54" t="n"/>
      <c r="H25" s="54" t="n"/>
      <c r="I25" s="54" t="n"/>
      <c r="J25" s="54" t="n"/>
      <c r="K25" s="54" t="n"/>
      <c r="L25" s="54" t="n"/>
      <c r="M25" s="54" t="n"/>
      <c r="N25" s="54" t="n"/>
      <c r="O25" s="54" t="n"/>
      <c r="P25" s="54" t="n"/>
    </row>
    <row r="26">
      <c r="A26" s="105" t="inlineStr">
        <is>
          <t>单箱净重 KG</t>
        </is>
      </c>
      <c r="B26" s="68">
        <f>IFERROR(Input!$E$25*$B$7,"")</f>
        <v/>
      </c>
      <c r="C26" s="106" t="inlineStr">
        <is>
          <t>净重/件 × 每箱件数</t>
        </is>
      </c>
      <c r="D26" s="54" t="n"/>
      <c r="E26" s="54" t="n"/>
      <c r="F26" s="54" t="n"/>
      <c r="G26" s="54" t="n"/>
      <c r="H26" s="54" t="n"/>
      <c r="I26" s="54" t="n"/>
      <c r="J26" s="54" t="n"/>
      <c r="K26" s="54" t="n"/>
      <c r="L26" s="54" t="n"/>
      <c r="M26" s="54" t="n"/>
      <c r="N26" s="54" t="n"/>
      <c r="O26" s="54" t="n"/>
      <c r="P26" s="54" t="n"/>
    </row>
    <row r="27">
      <c r="A27" s="105" t="inlineStr">
        <is>
          <t>单箱毛重 KG</t>
        </is>
      </c>
      <c r="B27" s="68">
        <f>IFERROR($B$26+$B$25,"")</f>
        <v/>
      </c>
      <c r="C27" s="106" t="inlineStr">
        <is>
          <t>单箱净重 + 包装增重</t>
        </is>
      </c>
      <c r="D27" s="54" t="n"/>
      <c r="E27" s="54" t="n"/>
      <c r="F27" s="54" t="n"/>
      <c r="G27" s="54" t="n"/>
      <c r="H27" s="54" t="n"/>
      <c r="I27" s="54" t="n"/>
      <c r="J27" s="54" t="n"/>
      <c r="K27" s="54" t="n"/>
      <c r="L27" s="54" t="n"/>
      <c r="M27" s="54" t="n"/>
      <c r="N27" s="54" t="n"/>
      <c r="O27" s="54" t="n"/>
      <c r="P27" s="54" t="n"/>
    </row>
    <row r="28">
      <c r="A28" s="105" t="inlineStr">
        <is>
          <t>单件摊分毛重 KG</t>
        </is>
      </c>
      <c r="B28" s="68">
        <f>IFERROR($B$27/$B$7,0)</f>
        <v/>
      </c>
      <c r="C28" s="106" t="inlineStr">
        <is>
          <t>单箱毛重 / 每箱件数</t>
        </is>
      </c>
      <c r="D28" s="54" t="n"/>
      <c r="E28" s="54" t="n"/>
      <c r="F28" s="54" t="n"/>
      <c r="G28" s="54" t="n"/>
      <c r="H28" s="54" t="n"/>
      <c r="I28" s="54" t="n"/>
      <c r="J28" s="54" t="n"/>
      <c r="K28" s="54" t="n"/>
      <c r="L28" s="54" t="n"/>
      <c r="M28" s="54" t="n"/>
      <c r="N28" s="54" t="n"/>
      <c r="O28" s="54" t="n"/>
      <c r="P28" s="54" t="n"/>
    </row>
    <row r="29">
      <c r="A29" s="105" t="inlineStr">
        <is>
          <t>柜型</t>
        </is>
      </c>
      <c r="B29" s="67">
        <f>IFERROR(Input!$E$29,"")</f>
        <v/>
      </c>
      <c r="C29" s="106" t="inlineStr">
        <is>
          <t>来自 Input!E29</t>
        </is>
      </c>
      <c r="D29" s="54" t="n"/>
      <c r="E29" s="54" t="n"/>
      <c r="F29" s="54" t="n"/>
      <c r="G29" s="54" t="n"/>
      <c r="H29" s="54" t="n"/>
      <c r="I29" s="54" t="n"/>
      <c r="J29" s="54" t="n"/>
      <c r="K29" s="54" t="n"/>
      <c r="L29" s="54" t="n"/>
      <c r="M29" s="54" t="n"/>
      <c r="N29" s="54" t="n"/>
      <c r="O29" s="54" t="n"/>
      <c r="P29" s="54" t="n"/>
    </row>
    <row r="30">
      <c r="A30" s="105" t="inlineStr">
        <is>
          <t>柜内容积 CBM</t>
        </is>
      </c>
      <c r="B30" s="75">
        <f>IFERROR(VLOOKUP($B$29,$F$15:$J$17,2,FALSE),66)</f>
        <v/>
      </c>
      <c r="C30" s="106" t="inlineStr">
        <is>
          <t>柜型理论容积</t>
        </is>
      </c>
      <c r="D30" s="54" t="n"/>
      <c r="E30" s="54" t="n"/>
      <c r="F30" s="54" t="n"/>
      <c r="G30" s="54" t="n"/>
      <c r="H30" s="54" t="n"/>
      <c r="I30" s="54" t="n"/>
      <c r="J30" s="54" t="n"/>
      <c r="K30" s="54" t="n"/>
      <c r="L30" s="54" t="n"/>
      <c r="M30" s="54" t="n"/>
      <c r="N30" s="54" t="n"/>
      <c r="O30" s="54" t="n"/>
      <c r="P30" s="54" t="n"/>
    </row>
    <row r="31">
      <c r="A31" s="105" t="inlineStr">
        <is>
          <t>有效装载 CBM</t>
        </is>
      </c>
      <c r="B31" s="75">
        <f>IFERROR(VLOOKUP($B$29,$F$15:$J$17,3,FALSE),66)</f>
        <v/>
      </c>
      <c r="C31" s="106" t="inlineStr">
        <is>
          <t>扣除装柜损耗后的可用体积</t>
        </is>
      </c>
      <c r="D31" s="54" t="n"/>
      <c r="E31" s="54" t="n"/>
      <c r="F31" s="54" t="n"/>
      <c r="G31" s="54" t="n"/>
      <c r="H31" s="54" t="n"/>
      <c r="I31" s="54" t="n"/>
      <c r="J31" s="54" t="n"/>
      <c r="K31" s="54" t="n"/>
      <c r="L31" s="54" t="n"/>
      <c r="M31" s="54" t="n"/>
      <c r="N31" s="54" t="n"/>
      <c r="O31" s="54" t="n"/>
      <c r="P31" s="54" t="n"/>
    </row>
    <row r="32">
      <c r="A32" s="105" t="inlineStr">
        <is>
          <t>柜限重 KG</t>
        </is>
      </c>
      <c r="B32" s="75">
        <f>IFERROR(VLOOKUP($B$29,$F$15:$J$17,4,FALSE),26500)</f>
        <v/>
      </c>
      <c r="C32" s="106" t="inlineStr">
        <is>
          <t>按货物净载重口径</t>
        </is>
      </c>
      <c r="D32" s="54" t="n"/>
      <c r="E32" s="54" t="n"/>
      <c r="F32" s="54" t="n"/>
      <c r="G32" s="54" t="n"/>
      <c r="H32" s="54" t="n"/>
      <c r="I32" s="54" t="n"/>
      <c r="J32" s="54" t="n"/>
      <c r="K32" s="54" t="n"/>
      <c r="L32" s="54" t="n"/>
      <c r="M32" s="54" t="n"/>
      <c r="N32" s="54" t="n"/>
      <c r="O32" s="54" t="n"/>
      <c r="P32" s="54" t="n"/>
    </row>
    <row r="33">
      <c r="A33" s="105" t="inlineStr">
        <is>
          <t>按体积可装箱数</t>
        </is>
      </c>
      <c r="B33" s="75">
        <f>IFERROR(IF($B$21&gt;0,FLOOR($B$31/$B$21,1),0),"")</f>
        <v/>
      </c>
      <c r="C33" s="106" t="inlineStr">
        <is>
          <t>有效装载 CBM / 单箱 CBM</t>
        </is>
      </c>
      <c r="D33" s="54" t="n"/>
      <c r="E33" s="54" t="n"/>
      <c r="F33" s="54" t="n"/>
      <c r="G33" s="54" t="n"/>
      <c r="H33" s="54" t="n"/>
      <c r="I33" s="54" t="n"/>
      <c r="J33" s="54" t="n"/>
      <c r="K33" s="54" t="n"/>
      <c r="L33" s="54" t="n"/>
      <c r="M33" s="54" t="n"/>
      <c r="N33" s="54" t="n"/>
      <c r="O33" s="54" t="n"/>
      <c r="P33" s="54" t="n"/>
    </row>
    <row r="34">
      <c r="A34" s="105" t="inlineStr">
        <is>
          <t>按重量可装箱数</t>
        </is>
      </c>
      <c r="B34" s="75">
        <f>IFERROR(IF($B$27&gt;0,FLOOR($B$32/$B$27,1),0),"")</f>
        <v/>
      </c>
      <c r="C34" s="106" t="inlineStr">
        <is>
          <t>柜限重 / 单箱毛重</t>
        </is>
      </c>
      <c r="D34" s="54" t="n"/>
      <c r="E34" s="54" t="n"/>
      <c r="F34" s="54" t="n"/>
      <c r="G34" s="54" t="n"/>
      <c r="H34" s="54" t="n"/>
      <c r="I34" s="54" t="n"/>
      <c r="J34" s="54" t="n"/>
      <c r="K34" s="54" t="n"/>
      <c r="L34" s="54" t="n"/>
      <c r="M34" s="54" t="n"/>
      <c r="N34" s="54" t="n"/>
      <c r="O34" s="54" t="n"/>
      <c r="P34" s="54" t="n"/>
    </row>
    <row r="35">
      <c r="A35" s="105" t="inlineStr">
        <is>
          <t>最终可装箱数</t>
        </is>
      </c>
      <c r="B35" s="75">
        <f>IFERROR(IF(AND($B$33&gt;0,$B$34&gt;0),MIN($B$33,$B$34),MAX($B$33,$B$34)),"")</f>
        <v/>
      </c>
      <c r="C35" s="106" t="inlineStr">
        <is>
          <t>体积和限重取低值</t>
        </is>
      </c>
      <c r="D35" s="54" t="n"/>
      <c r="E35" s="54" t="n"/>
      <c r="F35" s="54" t="n"/>
      <c r="G35" s="54" t="n"/>
      <c r="H35" s="54" t="n"/>
      <c r="I35" s="54" t="n"/>
      <c r="J35" s="54" t="n"/>
      <c r="K35" s="54" t="n"/>
      <c r="L35" s="54" t="n"/>
      <c r="M35" s="54" t="n"/>
      <c r="N35" s="54" t="n"/>
      <c r="O35" s="54" t="n"/>
      <c r="P35" s="54" t="n"/>
    </row>
    <row r="36">
      <c r="A36" s="105" t="inlineStr">
        <is>
          <t>最终装柜量 件</t>
        </is>
      </c>
      <c r="B36" s="75">
        <f>IFERROR($B$35*$B$7,"")</f>
        <v/>
      </c>
      <c r="C36" s="106" t="inlineStr">
        <is>
          <t>最终箱数 × 每箱件数</t>
        </is>
      </c>
      <c r="D36" s="54" t="n"/>
      <c r="E36" s="54" t="n"/>
      <c r="F36" s="54" t="n"/>
      <c r="G36" s="54" t="n"/>
      <c r="H36" s="54" t="n"/>
      <c r="I36" s="54" t="n"/>
      <c r="J36" s="54" t="n"/>
      <c r="K36" s="54" t="n"/>
      <c r="L36" s="54" t="n"/>
      <c r="M36" s="54" t="n"/>
      <c r="N36" s="54" t="n"/>
      <c r="O36" s="54" t="n"/>
      <c r="P36" s="54" t="n"/>
    </row>
    <row r="37">
      <c r="A37" s="105" t="inlineStr">
        <is>
          <t>限制因素</t>
        </is>
      </c>
      <c r="B37" s="67">
        <f>IFERROR(IF($B$35=0,"待补尺寸/重量",IF($B$33&lt;$B$34,"体积限制",IF($B$34&lt;$B$33,"重量限制","体积与重量接近"))),"")</f>
        <v/>
      </c>
      <c r="C37" s="106" t="inlineStr">
        <is>
          <t>提示是体积限制还是重量限制</t>
        </is>
      </c>
      <c r="D37" s="54" t="n"/>
      <c r="E37" s="54" t="n"/>
      <c r="F37" s="54" t="n"/>
      <c r="G37" s="54" t="n"/>
      <c r="H37" s="54" t="n"/>
      <c r="I37" s="54" t="n"/>
      <c r="J37" s="54" t="n"/>
      <c r="K37" s="54" t="n"/>
      <c r="L37" s="54" t="n"/>
      <c r="M37" s="54" t="n"/>
      <c r="N37" s="54" t="n"/>
      <c r="O37" s="54" t="n"/>
      <c r="P37" s="54" t="n"/>
    </row>
    <row r="38" ht="84" customHeight="1" s="197">
      <c r="A38" s="105" t="inlineStr">
        <is>
          <t>测算口径</t>
        </is>
      </c>
      <c r="B38" s="67">
        <f>IFERROR("包装尺寸由产品尺寸、内包外扩、外箱外扩推导；装柜量按体积上限和限重上限取低值；建议与历史装柜量复核。","")</f>
        <v/>
      </c>
      <c r="C38" s="106" t="inlineStr">
        <is>
          <t>动态CBM/重量测算 + 历史经验复核提醒</t>
        </is>
      </c>
      <c r="D38" s="54" t="n"/>
      <c r="E38" s="54" t="n"/>
      <c r="F38" s="54" t="n"/>
      <c r="G38" s="54" t="n"/>
      <c r="H38" s="54" t="n"/>
      <c r="I38" s="54" t="n"/>
      <c r="J38" s="54" t="n"/>
      <c r="K38" s="54" t="n"/>
      <c r="L38" s="54" t="n"/>
      <c r="M38" s="54" t="n"/>
      <c r="N38" s="54" t="n"/>
      <c r="O38" s="54" t="n"/>
      <c r="P38" s="54" t="n"/>
    </row>
    <row r="39">
      <c r="A39" s="107" t="n"/>
      <c r="B39" s="108"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ht="31" customHeight="1" s="197">
      <c r="A41" s="109" t="inlineStr">
        <is>
          <t>盖板独立包装/物流测算</t>
        </is>
      </c>
      <c r="B41" s="109" t="n"/>
      <c r="C41" s="109" t="n"/>
      <c r="D41" s="54" t="n"/>
      <c r="E41" s="54" t="n"/>
      <c r="F41" s="54" t="n"/>
      <c r="G41" s="54" t="n"/>
      <c r="H41" s="54" t="n"/>
      <c r="I41" s="54" t="n"/>
      <c r="J41" s="54" t="n"/>
      <c r="K41" s="54" t="n"/>
      <c r="L41" s="54" t="n"/>
      <c r="M41" s="54" t="n"/>
      <c r="N41" s="54" t="n"/>
      <c r="O41" s="54" t="n"/>
      <c r="P41" s="54" t="n"/>
    </row>
    <row r="42">
      <c r="A42" s="5" t="inlineStr">
        <is>
          <t>项目</t>
        </is>
      </c>
      <c r="B42" s="5" t="inlineStr">
        <is>
          <t>当前值</t>
        </is>
      </c>
      <c r="C42" s="5" t="inlineStr">
        <is>
          <t>说明</t>
        </is>
      </c>
      <c r="D42" s="54" t="n"/>
      <c r="E42" s="54" t="n"/>
      <c r="F42" s="54" t="n"/>
      <c r="G42" s="54" t="n"/>
      <c r="H42" s="54" t="n"/>
      <c r="I42" s="54" t="n"/>
      <c r="J42" s="54" t="n"/>
      <c r="K42" s="54" t="n"/>
      <c r="L42" s="54" t="n"/>
      <c r="M42" s="54" t="n"/>
      <c r="N42" s="54" t="n"/>
      <c r="O42" s="54" t="n"/>
      <c r="P42" s="54" t="n"/>
    </row>
    <row r="43" ht="26" customHeight="1" s="197">
      <c r="A43" s="45" t="inlineStr">
        <is>
          <t>是否测算参考</t>
        </is>
      </c>
      <c r="B43" s="45">
        <f>Input!$E$34</f>
        <v/>
      </c>
      <c r="C43" s="45" t="inlineStr">
        <is>
          <t>来自填写首页 B29；是=盖板独立物流进入 BOM</t>
        </is>
      </c>
      <c r="D43" s="54" t="n"/>
      <c r="E43" s="54" t="n"/>
      <c r="F43" s="54" t="n"/>
      <c r="G43" s="54" t="n"/>
      <c r="H43" s="54" t="n"/>
      <c r="I43" s="54" t="n"/>
      <c r="J43" s="54" t="n"/>
      <c r="K43" s="54" t="n"/>
      <c r="L43" s="54" t="n"/>
      <c r="M43" s="54" t="n"/>
      <c r="N43" s="54" t="n"/>
      <c r="O43" s="54" t="n"/>
      <c r="P43" s="54" t="n"/>
    </row>
    <row r="44">
      <c r="A44" s="45" t="inlineStr">
        <is>
          <t>盖板长 mm</t>
        </is>
      </c>
      <c r="B44" s="45">
        <f>Input!$E$35</f>
        <v/>
      </c>
      <c r="C44" s="45" t="inlineStr">
        <is>
          <t>盖板本体尺寸</t>
        </is>
      </c>
      <c r="D44" s="54" t="n"/>
      <c r="E44" s="54" t="n"/>
      <c r="F44" s="54" t="n"/>
      <c r="G44" s="54" t="n"/>
      <c r="H44" s="54" t="n"/>
      <c r="I44" s="54" t="n"/>
      <c r="J44" s="54" t="n"/>
      <c r="K44" s="54" t="n"/>
      <c r="L44" s="54" t="n"/>
      <c r="M44" s="54" t="n"/>
      <c r="N44" s="54" t="n"/>
      <c r="O44" s="54" t="n"/>
      <c r="P44" s="54" t="n"/>
    </row>
    <row r="45">
      <c r="A45" s="45" t="inlineStr">
        <is>
          <t>盖板宽 mm</t>
        </is>
      </c>
      <c r="B45" s="45">
        <f>Input!$E$36</f>
        <v/>
      </c>
      <c r="C45" s="45" t="inlineStr">
        <is>
          <t>盖板本体尺寸</t>
        </is>
      </c>
      <c r="D45" s="54" t="n"/>
      <c r="E45" s="54" t="n"/>
      <c r="F45" s="54" t="n"/>
      <c r="G45" s="54" t="n"/>
      <c r="H45" s="54" t="n"/>
      <c r="I45" s="54" t="n"/>
      <c r="J45" s="54" t="n"/>
      <c r="K45" s="54" t="n"/>
      <c r="L45" s="54" t="n"/>
      <c r="M45" s="54" t="n"/>
      <c r="N45" s="54" t="n"/>
      <c r="O45" s="54" t="n"/>
      <c r="P45" s="54" t="n"/>
    </row>
    <row r="46">
      <c r="A46" s="45" t="inlineStr">
        <is>
          <t>盖板高 mm</t>
        </is>
      </c>
      <c r="B46" s="45">
        <f>Input!$E$37</f>
        <v/>
      </c>
      <c r="C46" s="45" t="inlineStr">
        <is>
          <t>单套厚度，按叠放高度计算</t>
        </is>
      </c>
      <c r="D46" s="54" t="n"/>
      <c r="E46" s="54" t="n"/>
      <c r="F46" s="54" t="n"/>
      <c r="G46" s="54" t="n"/>
      <c r="H46" s="54" t="n"/>
      <c r="I46" s="54" t="n"/>
      <c r="J46" s="54" t="n"/>
      <c r="K46" s="54" t="n"/>
      <c r="L46" s="54" t="n"/>
      <c r="M46" s="54" t="n"/>
      <c r="N46" s="54" t="n"/>
      <c r="O46" s="54" t="n"/>
      <c r="P46" s="54" t="n"/>
    </row>
    <row r="47">
      <c r="A47" s="45" t="inlineStr">
        <is>
          <t>盖板净重 KG/套</t>
        </is>
      </c>
      <c r="B47" s="45">
        <f>Input!$E$38</f>
        <v/>
      </c>
      <c r="C47" s="45" t="inlineStr">
        <is>
          <t>单套净重</t>
        </is>
      </c>
      <c r="D47" s="54" t="n"/>
      <c r="E47" s="54" t="n"/>
      <c r="F47" s="54" t="n"/>
      <c r="G47" s="54" t="n"/>
      <c r="H47" s="54" t="n"/>
      <c r="I47" s="54" t="n"/>
      <c r="J47" s="54" t="n"/>
      <c r="K47" s="54" t="n"/>
      <c r="L47" s="54" t="n"/>
      <c r="M47" s="54" t="n"/>
      <c r="N47" s="54" t="n"/>
      <c r="O47" s="54" t="n"/>
      <c r="P47" s="54" t="n"/>
    </row>
    <row r="48">
      <c r="A48" s="45" t="inlineStr">
        <is>
          <t>每箱盖板套数</t>
        </is>
      </c>
      <c r="B48" s="45">
        <f>IF(Input!$E$39="","",MAX(1,Input!$E$39))</f>
        <v/>
      </c>
      <c r="C48" s="45" t="inlineStr">
        <is>
          <t>盖板一箱装几套</t>
        </is>
      </c>
      <c r="D48" s="54" t="n"/>
      <c r="E48" s="54" t="n"/>
      <c r="F48" s="54" t="n"/>
      <c r="G48" s="54" t="n"/>
      <c r="H48" s="54" t="n"/>
      <c r="I48" s="54" t="n"/>
      <c r="J48" s="54" t="n"/>
      <c r="K48" s="54" t="n"/>
      <c r="L48" s="54" t="n"/>
      <c r="M48" s="54" t="n"/>
      <c r="N48" s="54" t="n"/>
      <c r="O48" s="54" t="n"/>
      <c r="P48" s="54" t="n"/>
    </row>
    <row r="49">
      <c r="A49" s="45" t="inlineStr">
        <is>
          <t>盖板箱外扩 mm</t>
        </is>
      </c>
      <c r="B49" s="45">
        <f>IF(Input!$E$40="",15,Input!$E$40)</f>
        <v/>
      </c>
      <c r="C49" s="45" t="inlineStr">
        <is>
          <t>外箱单边外扩</t>
        </is>
      </c>
      <c r="D49" s="54" t="n"/>
      <c r="E49" s="54" t="n"/>
      <c r="F49" s="54" t="n"/>
      <c r="G49" s="54" t="n"/>
      <c r="H49" s="54" t="n"/>
      <c r="I49" s="54" t="n"/>
      <c r="J49" s="54" t="n"/>
      <c r="K49" s="54" t="n"/>
      <c r="L49" s="54" t="n"/>
      <c r="M49" s="54" t="n"/>
      <c r="N49" s="54" t="n"/>
      <c r="O49" s="54" t="n"/>
      <c r="P49" s="54" t="n"/>
    </row>
    <row r="50">
      <c r="A50" s="45" t="inlineStr">
        <is>
          <t>纸板密度 KG/㎡</t>
        </is>
      </c>
      <c r="B50" s="45">
        <f>IF(Input!$E$42="",0.65,Input!$E$42)</f>
        <v/>
      </c>
      <c r="C50" s="45" t="inlineStr">
        <is>
          <t>盖板外箱纸板密度</t>
        </is>
      </c>
      <c r="D50" s="54" t="n"/>
      <c r="E50" s="54" t="n"/>
      <c r="F50" s="54" t="n"/>
      <c r="G50" s="54" t="n"/>
      <c r="H50" s="54" t="n"/>
      <c r="I50" s="54" t="n"/>
      <c r="J50" s="54" t="n"/>
      <c r="K50" s="54" t="n"/>
      <c r="L50" s="54" t="n"/>
      <c r="M50" s="54" t="n"/>
      <c r="N50" s="54" t="n"/>
      <c r="O50" s="54" t="n"/>
      <c r="P50" s="54" t="n"/>
    </row>
    <row r="51">
      <c r="A51" s="45" t="inlineStr">
        <is>
          <t>辅材重量 KG/箱</t>
        </is>
      </c>
      <c r="B51" s="45">
        <f>IF(Input!$E$41="",1.2,Input!$E$41)</f>
        <v/>
      </c>
      <c r="C51" s="45" t="inlineStr">
        <is>
          <t>泡沫、袋子、说明书等</t>
        </is>
      </c>
      <c r="D51" s="54" t="n"/>
      <c r="E51" s="54" t="n"/>
      <c r="F51" s="54" t="n"/>
      <c r="G51" s="54" t="n"/>
      <c r="H51" s="54" t="n"/>
      <c r="I51" s="54" t="n"/>
      <c r="J51" s="54" t="n"/>
      <c r="K51" s="54" t="n"/>
      <c r="L51" s="54" t="n"/>
      <c r="M51" s="54" t="n"/>
      <c r="N51" s="54" t="n"/>
      <c r="O51" s="54" t="n"/>
      <c r="P51" s="54" t="n"/>
    </row>
    <row r="52">
      <c r="A52" s="45" t="inlineStr">
        <is>
          <t>盖板外箱长 mm</t>
        </is>
      </c>
      <c r="B52" s="45">
        <f>IF(AND(N(B44)&gt;0,N(B48)&gt;0),N(B44)+N(B49)*2,0)</f>
        <v/>
      </c>
      <c r="C52" s="45" t="inlineStr">
        <is>
          <t>盖板长 + 外扩×2</t>
        </is>
      </c>
      <c r="D52" s="54" t="n"/>
      <c r="E52" s="54" t="n"/>
      <c r="F52" s="54" t="n"/>
      <c r="G52" s="54" t="n"/>
      <c r="H52" s="54" t="n"/>
      <c r="I52" s="54" t="n"/>
      <c r="J52" s="54" t="n"/>
      <c r="K52" s="54" t="n"/>
      <c r="L52" s="54" t="n"/>
      <c r="M52" s="54" t="n"/>
      <c r="N52" s="54" t="n"/>
      <c r="O52" s="54" t="n"/>
      <c r="P52" s="54" t="n"/>
    </row>
    <row r="53">
      <c r="A53" s="45" t="inlineStr">
        <is>
          <t>盖板外箱宽 mm</t>
        </is>
      </c>
      <c r="B53" s="45">
        <f>IF(AND(N(B45)&gt;0,N(B48)&gt;0),N(B45)+N(B49)*2,0)</f>
        <v/>
      </c>
      <c r="C53" s="45" t="inlineStr">
        <is>
          <t>盖板宽 + 外扩×2</t>
        </is>
      </c>
      <c r="D53" s="54" t="n"/>
      <c r="E53" s="54" t="n"/>
      <c r="F53" s="54" t="n"/>
      <c r="G53" s="54" t="n"/>
      <c r="H53" s="54" t="n"/>
      <c r="I53" s="54" t="n"/>
      <c r="J53" s="54" t="n"/>
      <c r="K53" s="54" t="n"/>
      <c r="L53" s="54" t="n"/>
      <c r="M53" s="54" t="n"/>
      <c r="N53" s="54" t="n"/>
      <c r="O53" s="54" t="n"/>
      <c r="P53" s="54" t="n"/>
    </row>
    <row r="54">
      <c r="A54" s="45" t="inlineStr">
        <is>
          <t>盖板外箱高 mm</t>
        </is>
      </c>
      <c r="B54" s="45">
        <f>IF(AND(N(B46)&gt;0,N(B48)&gt;0),N(B46)*N(B48)+N(B49)*2,0)</f>
        <v/>
      </c>
      <c r="C54" s="45" t="inlineStr">
        <is>
          <t>盖板高×套数 + 外扩×2</t>
        </is>
      </c>
      <c r="D54" s="54" t="n"/>
      <c r="E54" s="54" t="n"/>
      <c r="F54" s="54" t="n"/>
      <c r="G54" s="54" t="n"/>
      <c r="H54" s="54" t="n"/>
      <c r="I54" s="54" t="n"/>
      <c r="J54" s="54" t="n"/>
      <c r="K54" s="54" t="n"/>
      <c r="L54" s="54" t="n"/>
      <c r="M54" s="54" t="n"/>
      <c r="N54" s="54" t="n"/>
      <c r="O54" s="54" t="n"/>
      <c r="P54" s="54" t="n"/>
    </row>
    <row r="55">
      <c r="A55" s="45" t="inlineStr">
        <is>
          <t>盖板单箱 CBM</t>
        </is>
      </c>
      <c r="B55" s="45">
        <f>IF(AND(N(B52)&gt;0,N(B53)&gt;0,N(B54)&gt;0),B52*B53*B54/1000000000,0)</f>
        <v/>
      </c>
      <c r="C55" s="45" t="inlineStr">
        <is>
          <t>外箱长×宽×高</t>
        </is>
      </c>
      <c r="D55" s="54" t="n"/>
      <c r="E55" s="54" t="n"/>
      <c r="F55" s="54" t="n"/>
      <c r="G55" s="54" t="n"/>
      <c r="H55" s="54" t="n"/>
      <c r="I55" s="54" t="n"/>
      <c r="J55" s="54" t="n"/>
      <c r="K55" s="54" t="n"/>
      <c r="L55" s="54" t="n"/>
      <c r="M55" s="54" t="n"/>
      <c r="N55" s="54" t="n"/>
      <c r="O55" s="54" t="n"/>
      <c r="P55" s="54" t="n"/>
    </row>
    <row r="56">
      <c r="A56" s="45" t="inlineStr">
        <is>
          <t>盖板单套摊分 CBM</t>
        </is>
      </c>
      <c r="B56" s="45">
        <f>IF(N(B48)&gt;0,B55/B48,0)</f>
        <v/>
      </c>
      <c r="C56" s="45" t="inlineStr">
        <is>
          <t>单箱 CBM / 每箱套数</t>
        </is>
      </c>
      <c r="D56" s="54" t="n"/>
      <c r="E56" s="54" t="n"/>
      <c r="F56" s="54" t="n"/>
      <c r="G56" s="54" t="n"/>
      <c r="H56" s="54" t="n"/>
      <c r="I56" s="54" t="n"/>
      <c r="J56" s="54" t="n"/>
      <c r="K56" s="54" t="n"/>
      <c r="L56" s="54" t="n"/>
      <c r="M56" s="54" t="n"/>
      <c r="N56" s="54" t="n"/>
      <c r="O56" s="54" t="n"/>
      <c r="P56" s="54" t="n"/>
    </row>
    <row r="57">
      <c r="A57" s="45" t="inlineStr">
        <is>
          <t>盖板纸箱重量 KG</t>
        </is>
      </c>
      <c r="B57" s="45">
        <f>IF(AND(N(B52)&gt;0,N(B53)&gt;0,N(B54)&gt;0),2*((B52/1000)*(B53/1000)+(B52/1000)*(B54/1000)+(B53/1000)*(B54/1000))*N(B50),0)</f>
        <v/>
      </c>
      <c r="C57" s="45" t="inlineStr">
        <is>
          <t>展开面积×纸板密度</t>
        </is>
      </c>
      <c r="D57" s="54" t="n"/>
      <c r="E57" s="54" t="n"/>
      <c r="F57" s="54" t="n"/>
      <c r="G57" s="54" t="n"/>
      <c r="H57" s="54" t="n"/>
      <c r="I57" s="54" t="n"/>
      <c r="J57" s="54" t="n"/>
      <c r="K57" s="54" t="n"/>
      <c r="L57" s="54" t="n"/>
      <c r="M57" s="54" t="n"/>
      <c r="N57" s="54" t="n"/>
      <c r="O57" s="54" t="n"/>
      <c r="P57" s="54" t="n"/>
    </row>
    <row r="58">
      <c r="A58" s="45" t="inlineStr">
        <is>
          <t>盖板单箱净重 KG</t>
        </is>
      </c>
      <c r="B58" s="45">
        <f>IF(AND(N(B47)&gt;0,N(B48)&gt;0),N(B47)*N(B48),0)</f>
        <v/>
      </c>
      <c r="C58" s="45" t="inlineStr">
        <is>
          <t>净重×每箱套数</t>
        </is>
      </c>
      <c r="D58" s="54" t="n"/>
      <c r="E58" s="54" t="n"/>
      <c r="F58" s="54" t="n"/>
      <c r="G58" s="54" t="n"/>
      <c r="H58" s="54" t="n"/>
      <c r="I58" s="54" t="n"/>
      <c r="J58" s="54" t="n"/>
      <c r="K58" s="54" t="n"/>
      <c r="L58" s="54" t="n"/>
      <c r="M58" s="54" t="n"/>
      <c r="N58" s="54" t="n"/>
      <c r="O58" s="54" t="n"/>
      <c r="P58" s="54" t="n"/>
    </row>
    <row r="59">
      <c r="A59" s="45" t="inlineStr">
        <is>
          <t>盖板单箱毛重 KG</t>
        </is>
      </c>
      <c r="B59" s="45">
        <f>IF(N(B58)&gt;0,B58+B57+N(B51),0)</f>
        <v/>
      </c>
      <c r="C59" s="45" t="inlineStr">
        <is>
          <t>净重+纸箱+辅材</t>
        </is>
      </c>
      <c r="D59" s="54" t="n"/>
      <c r="E59" s="54" t="n"/>
      <c r="F59" s="54" t="n"/>
      <c r="G59" s="54" t="n"/>
      <c r="H59" s="54" t="n"/>
      <c r="I59" s="54" t="n"/>
      <c r="J59" s="54" t="n"/>
      <c r="K59" s="54" t="n"/>
      <c r="L59" s="54" t="n"/>
      <c r="M59" s="54" t="n"/>
      <c r="N59" s="54" t="n"/>
      <c r="O59" s="54" t="n"/>
      <c r="P59" s="54" t="n"/>
    </row>
    <row r="60">
      <c r="A60" s="45" t="inlineStr">
        <is>
          <t>盖板单套毛重 KG</t>
        </is>
      </c>
      <c r="B60" s="45">
        <f>IF(N(B48)&gt;0,B59/B48,0)</f>
        <v/>
      </c>
      <c r="C60" s="45" t="inlineStr">
        <is>
          <t>单箱毛重 / 每箱套数</t>
        </is>
      </c>
      <c r="D60" s="54" t="n"/>
      <c r="E60" s="54" t="n"/>
      <c r="F60" s="54" t="n"/>
      <c r="G60" s="54" t="n"/>
      <c r="H60" s="54" t="n"/>
      <c r="I60" s="54" t="n"/>
      <c r="J60" s="54" t="n"/>
      <c r="K60" s="54" t="n"/>
      <c r="L60" s="54" t="n"/>
      <c r="M60" s="54" t="n"/>
      <c r="N60" s="54" t="n"/>
      <c r="O60" s="54" t="n"/>
      <c r="P60" s="54" t="n"/>
    </row>
    <row r="61">
      <c r="A61" s="45" t="inlineStr">
        <is>
          <t>盖板按体积可装箱数</t>
        </is>
      </c>
      <c r="B61" s="45">
        <f>IF(N(B55)&gt;0,FLOOR($B$31/B55,1),0)</f>
        <v/>
      </c>
      <c r="C61" s="45" t="inlineStr">
        <is>
          <t>有效装载 CBM / 单箱 CBM</t>
        </is>
      </c>
      <c r="D61" s="54" t="n"/>
      <c r="E61" s="54" t="n"/>
      <c r="F61" s="54" t="n"/>
      <c r="G61" s="54" t="n"/>
      <c r="H61" s="54" t="n"/>
      <c r="I61" s="54" t="n"/>
      <c r="J61" s="54" t="n"/>
      <c r="K61" s="54" t="n"/>
      <c r="L61" s="54" t="n"/>
      <c r="M61" s="54" t="n"/>
      <c r="N61" s="54" t="n"/>
      <c r="O61" s="54" t="n"/>
      <c r="P61" s="54" t="n"/>
    </row>
    <row r="62">
      <c r="A62" s="45" t="inlineStr">
        <is>
          <t>盖板按重量可装箱数</t>
        </is>
      </c>
      <c r="B62" s="45">
        <f>IF(N(B59)&gt;0,FLOOR($B$32/B59,1),0)</f>
        <v/>
      </c>
      <c r="C62" s="45" t="inlineStr">
        <is>
          <t>限重 KG / 单箱毛重</t>
        </is>
      </c>
      <c r="D62" s="54" t="n"/>
      <c r="E62" s="54" t="n"/>
      <c r="F62" s="54" t="n"/>
      <c r="G62" s="54" t="n"/>
      <c r="H62" s="54" t="n"/>
      <c r="I62" s="54" t="n"/>
      <c r="J62" s="54" t="n"/>
      <c r="K62" s="54" t="n"/>
      <c r="L62" s="54" t="n"/>
      <c r="M62" s="54" t="n"/>
      <c r="N62" s="54" t="n"/>
      <c r="O62" s="54" t="n"/>
      <c r="P62" s="54" t="n"/>
    </row>
    <row r="63">
      <c r="A63" s="45" t="inlineStr">
        <is>
          <t>盖板最终可装箱数</t>
        </is>
      </c>
      <c r="B63" s="45">
        <f>IF(AND(N(B61)&gt;0,N(B62)&gt;0),MIN(B61,B62),0)</f>
        <v/>
      </c>
      <c r="C63" s="45" t="inlineStr">
        <is>
          <t>体积和限重取低值</t>
        </is>
      </c>
      <c r="D63" s="54" t="n"/>
      <c r="E63" s="54" t="n"/>
      <c r="F63" s="54" t="n"/>
      <c r="G63" s="54" t="n"/>
      <c r="H63" s="54" t="n"/>
      <c r="I63" s="54" t="n"/>
      <c r="J63" s="54" t="n"/>
      <c r="K63" s="54" t="n"/>
      <c r="L63" s="54" t="n"/>
      <c r="M63" s="54" t="n"/>
      <c r="N63" s="54" t="n"/>
      <c r="O63" s="54" t="n"/>
      <c r="P63" s="54" t="n"/>
    </row>
    <row r="64">
      <c r="A64" s="45" t="inlineStr">
        <is>
          <t>盖板装柜量 套</t>
        </is>
      </c>
      <c r="B64" s="45">
        <f>N(B63)*N(B48)</f>
        <v/>
      </c>
      <c r="C64" s="45" t="inlineStr">
        <is>
          <t>最终箱数×每箱套数</t>
        </is>
      </c>
      <c r="D64" s="54" t="n"/>
      <c r="E64" s="54" t="n"/>
      <c r="F64" s="54" t="n"/>
      <c r="G64" s="54" t="n"/>
      <c r="H64" s="54" t="n"/>
      <c r="I64" s="54" t="n"/>
      <c r="J64" s="54" t="n"/>
      <c r="K64" s="54" t="n"/>
      <c r="L64" s="54" t="n"/>
      <c r="M64" s="54" t="n"/>
      <c r="N64" s="54" t="n"/>
      <c r="O64" s="54" t="n"/>
      <c r="P64" s="54" t="n"/>
    </row>
    <row r="65">
      <c r="A65" s="45" t="inlineStr">
        <is>
          <t>盖板需要柜数</t>
        </is>
      </c>
      <c r="B65" s="45">
        <f>IF(AND(N(B64)&gt;0,Input!$B$11&gt;0),ROUNDUP(Input!$B$11/B64,0),0)</f>
        <v/>
      </c>
      <c r="C65" s="45" t="inlineStr">
        <is>
          <t>订单数量 / 盖板装柜量</t>
        </is>
      </c>
      <c r="D65" s="54" t="n"/>
      <c r="E65" s="54" t="n"/>
      <c r="F65" s="54" t="n"/>
      <c r="G65" s="54" t="n"/>
      <c r="H65" s="54" t="n"/>
      <c r="I65" s="54" t="n"/>
      <c r="J65" s="54" t="n"/>
      <c r="K65" s="54" t="n"/>
      <c r="L65" s="54" t="n"/>
      <c r="M65" s="54" t="n"/>
      <c r="N65" s="54" t="n"/>
      <c r="O65" s="54" t="n"/>
      <c r="P65" s="54" t="n"/>
    </row>
    <row r="66" ht="26" customHeight="1" s="197">
      <c r="A66" s="45" t="inlineStr">
        <is>
          <t>盖板参考物流 RMB/套</t>
        </is>
      </c>
      <c r="B66" s="45">
        <f>IFERROR(IF(AND(N(B64)&gt;0,Input!$B$11&gt;0),((IFERROR(VLOOKUP(Input!$E$29,Library!$N$15:$R$17,2,FALSE)+VLOOKUP(Input!$E$29,Library!$N$15:$R$17,3,FALSE)+VLOOKUP(Input!$E$29,Library!$N$15:$R$17,4,FALSE)+VLOOKUP(Input!$E$29,Library!$N$15:$R$17,5,FALSE),0))*IFERROR(VLOOKUP(Input!$B$13,Library!$A$15:$F$19,2,FALSE),0)+(IFERROR(VLOOKUP(Input!$B$12,Library!$H$15:$K$20,2,FALSE)*Input!$B$18,0))*IFERROR(VLOOKUP(Input!$B$13,Library!$A$15:$F$19,3,FALSE),0)+(IFERROR(VLOOKUP(Input!$B$12,Library!$H$15:$K$20,3,FALSE),0))*IFERROR(VLOOKUP(Input!$B$13,Library!$A$15:$F$19,4,FALSE),0)+(IFERROR(VLOOKUP(Input!$B$12,Library!$H$15:$K$20,4,FALSE),0))*IFERROR(VLOOKUP(Input!$B$13,Library!$A$15:$F$19,5,FALSE),0))*B65/Input!$B$11,0),0)</f>
        <v/>
      </c>
      <c r="C66" s="45" t="inlineStr">
        <is>
          <t>按当前条款/市场/柜型摊销，仅参考；不计入盖板FOB进仓价</t>
        </is>
      </c>
      <c r="D66" s="54" t="n"/>
      <c r="E66" s="54" t="n"/>
      <c r="F66" s="54" t="n"/>
      <c r="G66" s="54" t="n"/>
      <c r="H66" s="54" t="n"/>
      <c r="I66" s="54" t="n"/>
      <c r="J66" s="54" t="n"/>
      <c r="K66" s="54" t="n"/>
      <c r="L66" s="54" t="n"/>
      <c r="M66" s="54" t="n"/>
      <c r="N66" s="54" t="n"/>
      <c r="O66" s="54" t="n"/>
      <c r="P66" s="54" t="n"/>
    </row>
    <row r="67" ht="26" customHeight="1" s="197">
      <c r="A67" s="45" t="inlineStr">
        <is>
          <t>报价处理</t>
        </is>
      </c>
      <c r="B67" s="45" t="n">
        <v>0</v>
      </c>
      <c r="C67" s="45" t="inlineStr">
        <is>
          <t>FOB进仓价已含供应商包装/进仓成本；不重复计入BOM</t>
        </is>
      </c>
      <c r="D67" s="54" t="n"/>
      <c r="E67" s="54" t="n"/>
      <c r="F67" s="54" t="n"/>
      <c r="G67" s="54" t="n"/>
      <c r="H67" s="54" t="n"/>
      <c r="I67" s="54" t="n"/>
      <c r="J67" s="54" t="n"/>
      <c r="K67" s="54" t="n"/>
      <c r="L67" s="54" t="n"/>
      <c r="M67" s="54" t="n"/>
      <c r="N67" s="54" t="n"/>
      <c r="O67" s="54" t="n"/>
      <c r="P67" s="54" t="n"/>
    </row>
    <row r="68" ht="26" customHeight="1" s="197">
      <c r="A68" s="45" t="inlineStr">
        <is>
          <t>盖板限制因素</t>
        </is>
      </c>
      <c r="B68" s="45">
        <f>IF(N(B64)=0,"待补盖板尺寸/重量",IF(N(B61)&lt;N(B62),"体积限制",IF(N(B62)&lt;N(B61),"重量限制","体积与重量接近")))</f>
        <v/>
      </c>
      <c r="C68" s="45" t="inlineStr">
        <is>
          <t>体积限制/重量限制/待补资料</t>
        </is>
      </c>
      <c r="D68" s="54" t="n"/>
      <c r="E68" s="54" t="n"/>
      <c r="F68" s="54" t="n"/>
      <c r="G68" s="54" t="n"/>
      <c r="H68" s="54" t="n"/>
      <c r="I68" s="54" t="n"/>
      <c r="J68" s="54" t="n"/>
      <c r="K68" s="54" t="n"/>
      <c r="L68" s="54" t="n"/>
      <c r="M68" s="54" t="n"/>
      <c r="N68" s="54" t="n"/>
      <c r="O68" s="54" t="n"/>
      <c r="P68" s="54" t="n"/>
    </row>
  </sheetData>
  <sheetProtection selectLockedCells="0" selectUnlockedCells="0" sheet="1" objects="0" insertRows="1" insertHyperlinks="1" autoFilter="1" scenarios="0" formatColumns="1" deleteColumns="1" insertColumns="1" pivotTables="1" deleteRows="1" formatCells="1" formatRows="1" sort="1"/>
  <mergeCells count="6">
    <mergeCell ref="A1:J1"/>
    <mergeCell ref="M3:P3"/>
    <mergeCell ref="A3:C3"/>
    <mergeCell ref="A2:J2"/>
    <mergeCell ref="F13:J13"/>
    <mergeCell ref="F3:K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2026-05-22T07:24:23Z</dcterms:created>
  <dcterms:modified xmlns:dcterms="http://purl.org/dc/terms/" xmlns:xsi="http://www.w3.org/2001/XMLSchema-instance" xsi:type="dcterms:W3CDTF">2026-05-28T02:35:37Z</dcterms:modified>
  <cp:lastModifiedBy>Jintao Wu</cp:lastModifiedBy>
</cp:coreProperties>
</file>