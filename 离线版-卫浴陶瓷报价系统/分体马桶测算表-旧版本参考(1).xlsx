
<file path=[Content_Types].xml><?xml version="1.0" encoding="utf-8"?>
<Types xmlns="http://schemas.openxmlformats.org/package/2006/content-types">
  <Default Extension="vml" ContentType="application/vnd.openxmlformats-officedocument.vmlDrawing"/>
  <Default Extension="xlsx" ContentType="application/vnd.openxmlformats-officedocument.spreadsheetml.shee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387"/>
  </bookViews>
  <sheets>
    <sheet name="Sheet1" sheetId="1" r:id="rId1"/>
  </sheets>
  <externalReferences>
    <externalReference r:id="rId2"/>
  </externalReferences>
  <definedNames>
    <definedName name="CBM">[1]RFQ!$AC$4</definedName>
    <definedName name="MasterTare">[1]RFQ!$AC$3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<sst xmlns="http://schemas.openxmlformats.org/spreadsheetml/2006/main" count="81" uniqueCount="73">
  <si>
    <r>
      <rPr>
        <b/>
        <sz val="18"/>
        <color theme="3" tint="-0.249977111117893"/>
        <rFont val="Aptos"/>
        <charset val="134"/>
      </rPr>
      <t xml:space="preserve">Should Cost Model 
</t>
    </r>
    <r>
      <rPr>
        <b/>
        <sz val="14"/>
        <color theme="3" tint="-0.249977111117893"/>
        <rFont val="宋体"/>
        <charset val="134"/>
      </rPr>
      <t>成本核价模型</t>
    </r>
  </si>
  <si>
    <r>
      <rPr>
        <sz val="11"/>
        <color theme="1"/>
        <rFont val="Aptos"/>
        <charset val="134"/>
      </rPr>
      <t>Customer SKU#</t>
    </r>
    <r>
      <rPr>
        <b/>
        <sz val="11"/>
        <color theme="3" tint="-0.249977111117893"/>
        <rFont val="宋体"/>
        <charset val="134"/>
      </rPr>
      <t>客户款号</t>
    </r>
  </si>
  <si>
    <t>Photo:</t>
  </si>
  <si>
    <r>
      <rPr>
        <sz val="11"/>
        <color theme="1"/>
        <rFont val="Aptos"/>
        <charset val="134"/>
      </rPr>
      <t>Factory SKU#</t>
    </r>
    <r>
      <rPr>
        <b/>
        <sz val="11"/>
        <color theme="3" tint="-0.249977111117893"/>
        <rFont val="宋体"/>
        <charset val="134"/>
      </rPr>
      <t>工厂款号</t>
    </r>
  </si>
  <si>
    <t>GD1A603-EL-S</t>
  </si>
  <si>
    <r>
      <rPr>
        <sz val="11"/>
        <color theme="1"/>
        <rFont val="Aptos"/>
        <charset val="134"/>
      </rPr>
      <t>Description</t>
    </r>
    <r>
      <rPr>
        <b/>
        <sz val="11"/>
        <color theme="3" tint="-0.249977111117893"/>
        <rFont val="宋体"/>
        <charset val="134"/>
      </rPr>
      <t>品名</t>
    </r>
  </si>
  <si>
    <t xml:space="preserve">Toilet bowl </t>
  </si>
  <si>
    <t>I/J/K三栏价格填一样的</t>
  </si>
  <si>
    <t>V4-1自产</t>
  </si>
  <si>
    <t>V4-1外购</t>
  </si>
  <si>
    <r>
      <rPr>
        <sz val="11"/>
        <color theme="1"/>
        <rFont val="Aptos"/>
        <charset val="134"/>
      </rPr>
      <t xml:space="preserve">Incoterm </t>
    </r>
    <r>
      <rPr>
        <b/>
        <sz val="11"/>
        <color theme="3" tint="-0.249977111117893"/>
        <rFont val="宋体"/>
        <charset val="134"/>
      </rPr>
      <t>报价方式</t>
    </r>
  </si>
  <si>
    <r>
      <rPr>
        <sz val="11"/>
        <color theme="1"/>
        <rFont val="Aptos"/>
        <charset val="134"/>
      </rPr>
      <t xml:space="preserve">Date </t>
    </r>
    <r>
      <rPr>
        <b/>
        <sz val="11"/>
        <color theme="3" tint="-0.249977111117893"/>
        <rFont val="宋体"/>
        <charset val="134"/>
      </rPr>
      <t>核价日期</t>
    </r>
  </si>
  <si>
    <t>净重：17kg</t>
  </si>
  <si>
    <t>产品价格出厂价+中国到尼日利亚的物流（一个高柜10万元/一个柜的数量就是单个产品物流费用。</t>
  </si>
  <si>
    <t>Margin 1</t>
  </si>
  <si>
    <t>Margin 2</t>
  </si>
  <si>
    <r>
      <rPr>
        <b/>
        <sz val="11"/>
        <color theme="0"/>
        <rFont val="Aptos"/>
        <charset val="134"/>
      </rPr>
      <t xml:space="preserve">Key Categories </t>
    </r>
    <r>
      <rPr>
        <b/>
        <sz val="11"/>
        <color theme="0"/>
        <rFont val="宋体"/>
        <charset val="134"/>
      </rPr>
      <t>成本类别</t>
    </r>
  </si>
  <si>
    <r>
      <rPr>
        <b/>
        <sz val="11"/>
        <color theme="0"/>
        <rFont val="Aptos"/>
        <charset val="134"/>
      </rPr>
      <t>Key Inputs / Material</t>
    </r>
    <r>
      <rPr>
        <b/>
        <sz val="11"/>
        <color theme="0"/>
        <rFont val="宋体"/>
        <charset val="134"/>
      </rPr>
      <t>项目</t>
    </r>
  </si>
  <si>
    <r>
      <rPr>
        <b/>
        <sz val="11"/>
        <color theme="0"/>
        <rFont val="Aptos"/>
        <charset val="134"/>
      </rPr>
      <t xml:space="preserve">GD code </t>
    </r>
    <r>
      <rPr>
        <b/>
        <sz val="11"/>
        <color theme="0"/>
        <rFont val="宋体"/>
        <charset val="134"/>
      </rPr>
      <t>内部编号</t>
    </r>
  </si>
  <si>
    <r>
      <rPr>
        <b/>
        <sz val="11"/>
        <color theme="0"/>
        <rFont val="Aptos"/>
        <charset val="134"/>
      </rPr>
      <t>Vendor name</t>
    </r>
    <r>
      <rPr>
        <b/>
        <sz val="11"/>
        <color theme="0"/>
        <rFont val="宋体"/>
        <charset val="134"/>
      </rPr>
      <t>供应商名字</t>
    </r>
  </si>
  <si>
    <t>Vendor product code供应商产品编号</t>
  </si>
  <si>
    <t>Key spec主要规格</t>
  </si>
  <si>
    <r>
      <rPr>
        <b/>
        <sz val="11"/>
        <color theme="0"/>
        <rFont val="Aptos"/>
        <charset val="134"/>
      </rPr>
      <t>Unit</t>
    </r>
    <r>
      <rPr>
        <b/>
        <sz val="11"/>
        <color theme="0"/>
        <rFont val="宋体"/>
        <charset val="134"/>
      </rPr>
      <t>数量单位</t>
    </r>
  </si>
  <si>
    <r>
      <rPr>
        <b/>
        <sz val="11"/>
        <color theme="0"/>
        <rFont val="Aptos"/>
        <charset val="134"/>
      </rPr>
      <t xml:space="preserve">Qty </t>
    </r>
    <r>
      <rPr>
        <b/>
        <sz val="11"/>
        <color theme="0"/>
        <rFont val="宋体"/>
        <charset val="134"/>
      </rPr>
      <t>数量</t>
    </r>
  </si>
  <si>
    <r>
      <rPr>
        <b/>
        <sz val="11"/>
        <color theme="0"/>
        <rFont val="Aptos"/>
        <charset val="134"/>
      </rPr>
      <t xml:space="preserve">unit price </t>
    </r>
    <r>
      <rPr>
        <b/>
        <sz val="11"/>
        <color theme="0"/>
        <rFont val="宋体"/>
        <charset val="134"/>
      </rPr>
      <t>单价</t>
    </r>
  </si>
  <si>
    <r>
      <rPr>
        <b/>
        <sz val="11"/>
        <color theme="0"/>
        <rFont val="Aptos"/>
        <charset val="134"/>
      </rPr>
      <t xml:space="preserve">Total cost </t>
    </r>
    <r>
      <rPr>
        <b/>
        <sz val="11"/>
        <color theme="0"/>
        <rFont val="宋体"/>
        <charset val="134"/>
      </rPr>
      <t>总成本</t>
    </r>
  </si>
  <si>
    <t>V3</t>
  </si>
  <si>
    <t>V4-1</t>
  </si>
  <si>
    <t>V4-2</t>
  </si>
  <si>
    <r>
      <rPr>
        <sz val="11"/>
        <color theme="1"/>
        <rFont val="Aptos"/>
        <charset val="134"/>
      </rPr>
      <t>VC cost</t>
    </r>
    <r>
      <rPr>
        <sz val="11"/>
        <color theme="1"/>
        <rFont val="宋体"/>
        <charset val="134"/>
      </rPr>
      <t>陶瓷成本</t>
    </r>
  </si>
  <si>
    <r>
      <rPr>
        <sz val="11"/>
        <color theme="1"/>
        <rFont val="Aptos"/>
        <charset val="134"/>
      </rPr>
      <t>Tank/cistern lid</t>
    </r>
    <r>
      <rPr>
        <sz val="11"/>
        <color theme="1"/>
        <rFont val="宋体"/>
        <charset val="134"/>
      </rPr>
      <t>水箱盖</t>
    </r>
  </si>
  <si>
    <r>
      <rPr>
        <sz val="11"/>
        <color theme="1"/>
        <rFont val="Aptos"/>
        <charset val="134"/>
      </rPr>
      <t xml:space="preserve">Tank/cistern </t>
    </r>
    <r>
      <rPr>
        <sz val="11"/>
        <color theme="1"/>
        <rFont val="宋体"/>
        <charset val="134"/>
      </rPr>
      <t>水箱</t>
    </r>
  </si>
  <si>
    <r>
      <rPr>
        <sz val="11"/>
        <color theme="1"/>
        <rFont val="Aptos"/>
        <charset val="134"/>
      </rPr>
      <t>toilet bowl/pan</t>
    </r>
    <r>
      <rPr>
        <sz val="11"/>
        <color theme="1"/>
        <rFont val="宋体"/>
        <charset val="134"/>
      </rPr>
      <t>马桶</t>
    </r>
  </si>
  <si>
    <t>635*375*380mm</t>
  </si>
  <si>
    <t>个</t>
  </si>
  <si>
    <r>
      <rPr>
        <sz val="11"/>
        <color theme="1"/>
        <rFont val="Aptos"/>
        <charset val="134"/>
      </rPr>
      <t>basin/sink</t>
    </r>
    <r>
      <rPr>
        <sz val="11"/>
        <color theme="1"/>
        <rFont val="宋体"/>
        <charset val="134"/>
      </rPr>
      <t>盆</t>
    </r>
  </si>
  <si>
    <t>Pedestal</t>
  </si>
  <si>
    <r>
      <rPr>
        <sz val="11"/>
        <color theme="1"/>
        <rFont val="Aptos"/>
        <charset val="134"/>
      </rPr>
      <t xml:space="preserve">others </t>
    </r>
    <r>
      <rPr>
        <sz val="11"/>
        <color theme="1"/>
        <rFont val="宋体"/>
        <charset val="134"/>
      </rPr>
      <t>其他</t>
    </r>
  </si>
  <si>
    <t>Flush valve 水件</t>
  </si>
  <si>
    <r>
      <rPr>
        <sz val="11"/>
        <color theme="1"/>
        <rFont val="Aptos"/>
        <charset val="134"/>
      </rPr>
      <t xml:space="preserve">Accessories </t>
    </r>
    <r>
      <rPr>
        <sz val="11"/>
        <color theme="1"/>
        <rFont val="宋体"/>
        <charset val="134"/>
      </rPr>
      <t>配件</t>
    </r>
  </si>
  <si>
    <t>Toilet seat盖板</t>
  </si>
  <si>
    <r>
      <rPr>
        <sz val="11"/>
        <color theme="1"/>
        <rFont val="Aptos"/>
        <charset val="134"/>
      </rPr>
      <t xml:space="preserve">Overflow </t>
    </r>
    <r>
      <rPr>
        <sz val="11"/>
        <color theme="1"/>
        <rFont val="宋体"/>
        <charset val="134"/>
      </rPr>
      <t>溢水环</t>
    </r>
  </si>
  <si>
    <r>
      <rPr>
        <sz val="11"/>
        <color theme="1"/>
        <rFont val="Aptos"/>
        <charset val="134"/>
      </rPr>
      <t>Push button/lever</t>
    </r>
    <r>
      <rPr>
        <sz val="11"/>
        <color theme="1"/>
        <rFont val="宋体"/>
        <charset val="134"/>
      </rPr>
      <t>按键、扳手</t>
    </r>
  </si>
  <si>
    <r>
      <rPr>
        <sz val="11"/>
        <color theme="1"/>
        <rFont val="Aptos"/>
        <charset val="134"/>
      </rPr>
      <t xml:space="preserve">Tank fitting kit </t>
    </r>
    <r>
      <rPr>
        <sz val="11"/>
        <color theme="1"/>
        <rFont val="宋体"/>
        <charset val="134"/>
      </rPr>
      <t>水箱安装配件</t>
    </r>
  </si>
  <si>
    <r>
      <rPr>
        <sz val="11"/>
        <color theme="1"/>
        <rFont val="Aptos"/>
        <charset val="134"/>
      </rPr>
      <t>Toilet fitting kit</t>
    </r>
    <r>
      <rPr>
        <sz val="11"/>
        <color theme="1"/>
        <rFont val="宋体"/>
        <charset val="134"/>
      </rPr>
      <t>安装配件</t>
    </r>
  </si>
  <si>
    <r>
      <rPr>
        <sz val="11"/>
        <color theme="1"/>
        <rFont val="Aptos"/>
        <charset val="134"/>
      </rPr>
      <t xml:space="preserve">Package </t>
    </r>
    <r>
      <rPr>
        <sz val="11"/>
        <color theme="1"/>
        <rFont val="宋体"/>
        <charset val="134"/>
      </rPr>
      <t>包装</t>
    </r>
  </si>
  <si>
    <r>
      <rPr>
        <sz val="11"/>
        <color theme="1"/>
        <rFont val="Aptos"/>
        <charset val="134"/>
      </rPr>
      <t>Installation Manual</t>
    </r>
    <r>
      <rPr>
        <sz val="11"/>
        <color theme="1"/>
        <rFont val="宋体"/>
        <charset val="134"/>
      </rPr>
      <t>说明书</t>
    </r>
  </si>
  <si>
    <t>本</t>
  </si>
  <si>
    <r>
      <rPr>
        <sz val="11"/>
        <color theme="1"/>
        <rFont val="Aptos"/>
        <charset val="134"/>
      </rPr>
      <t>Inner pack</t>
    </r>
    <r>
      <rPr>
        <sz val="11"/>
        <color theme="1"/>
        <rFont val="宋体"/>
        <charset val="134"/>
      </rPr>
      <t>内包装</t>
    </r>
  </si>
  <si>
    <r>
      <rPr>
        <sz val="11"/>
        <color theme="1"/>
        <rFont val="Aptos"/>
        <charset val="134"/>
      </rPr>
      <t>outer carton</t>
    </r>
    <r>
      <rPr>
        <sz val="11"/>
        <color theme="1"/>
        <rFont val="宋体"/>
        <charset val="134"/>
      </rPr>
      <t>外箱</t>
    </r>
  </si>
  <si>
    <r>
      <rPr>
        <sz val="11"/>
        <color theme="1"/>
        <rFont val="Aptos"/>
        <charset val="134"/>
      </rPr>
      <t>Pallet</t>
    </r>
    <r>
      <rPr>
        <sz val="11"/>
        <color theme="1"/>
        <rFont val="宋体"/>
        <charset val="134"/>
      </rPr>
      <t>托盘</t>
    </r>
    <r>
      <rPr>
        <sz val="11"/>
        <color theme="1"/>
        <rFont val="Aptos"/>
        <charset val="134"/>
      </rPr>
      <t>(</t>
    </r>
    <r>
      <rPr>
        <sz val="11"/>
        <color theme="1"/>
        <rFont val="宋体"/>
        <charset val="134"/>
      </rPr>
      <t>无特殊要求无）</t>
    </r>
  </si>
  <si>
    <r>
      <rPr>
        <sz val="11"/>
        <color theme="1"/>
        <rFont val="Aptos"/>
        <charset val="134"/>
      </rPr>
      <t xml:space="preserve">Labor Cost </t>
    </r>
    <r>
      <rPr>
        <sz val="11"/>
        <color theme="1"/>
        <rFont val="宋体"/>
        <charset val="134"/>
      </rPr>
      <t>人工成本</t>
    </r>
  </si>
  <si>
    <r>
      <rPr>
        <sz val="11"/>
        <color theme="1"/>
        <rFont val="Aptos"/>
        <charset val="134"/>
      </rPr>
      <t>Production labor cost</t>
    </r>
    <r>
      <rPr>
        <sz val="11"/>
        <color theme="1"/>
        <rFont val="宋体"/>
        <charset val="134"/>
      </rPr>
      <t>生产人工成本</t>
    </r>
  </si>
  <si>
    <t>工厂提供</t>
  </si>
  <si>
    <r>
      <rPr>
        <sz val="11"/>
        <color theme="1"/>
        <rFont val="Aptos"/>
        <charset val="134"/>
      </rPr>
      <t xml:space="preserve">Packing labor cost </t>
    </r>
    <r>
      <rPr>
        <sz val="11"/>
        <color theme="1"/>
        <rFont val="宋体"/>
        <charset val="134"/>
      </rPr>
      <t>包装人工成本</t>
    </r>
  </si>
  <si>
    <r>
      <rPr>
        <sz val="11"/>
        <color theme="1"/>
        <rFont val="Aptos"/>
        <charset val="134"/>
      </rPr>
      <t xml:space="preserve">Spoilage </t>
    </r>
    <r>
      <rPr>
        <sz val="11"/>
        <color theme="1"/>
        <rFont val="宋体"/>
        <charset val="134"/>
      </rPr>
      <t>损耗</t>
    </r>
  </si>
  <si>
    <r>
      <rPr>
        <sz val="11"/>
        <color theme="1"/>
        <rFont val="Aptos"/>
        <charset val="134"/>
      </rPr>
      <t xml:space="preserve">Lost for low yield </t>
    </r>
    <r>
      <rPr>
        <sz val="11"/>
        <color theme="1"/>
        <rFont val="宋体"/>
        <charset val="134"/>
      </rPr>
      <t>合格率损耗</t>
    </r>
  </si>
  <si>
    <r>
      <rPr>
        <sz val="11"/>
        <color theme="1"/>
        <rFont val="Aptos"/>
        <charset val="134"/>
      </rPr>
      <t xml:space="preserve">Indirect Cost </t>
    </r>
    <r>
      <rPr>
        <sz val="11"/>
        <color theme="1"/>
        <rFont val="宋体"/>
        <charset val="134"/>
      </rPr>
      <t>间接费用</t>
    </r>
  </si>
  <si>
    <r>
      <rPr>
        <sz val="11"/>
        <color theme="1"/>
        <rFont val="Aptos"/>
        <charset val="134"/>
      </rPr>
      <t xml:space="preserve">Tooling </t>
    </r>
    <r>
      <rPr>
        <sz val="11"/>
        <color theme="1"/>
        <rFont val="宋体"/>
        <charset val="134"/>
      </rPr>
      <t>模具分摊</t>
    </r>
  </si>
  <si>
    <r>
      <rPr>
        <sz val="11"/>
        <color theme="1"/>
        <rFont val="Aptos"/>
        <charset val="134"/>
      </rPr>
      <t>Management fee</t>
    </r>
    <r>
      <rPr>
        <sz val="11"/>
        <color theme="1"/>
        <rFont val="宋体"/>
        <charset val="134"/>
      </rPr>
      <t>管理成本或财务成本及其他</t>
    </r>
  </si>
  <si>
    <t xml:space="preserve">Sub Total cost </t>
  </si>
  <si>
    <r>
      <rPr>
        <sz val="11"/>
        <color theme="1"/>
        <rFont val="Aptos"/>
        <charset val="134"/>
      </rPr>
      <t xml:space="preserve">RMB </t>
    </r>
    <r>
      <rPr>
        <sz val="11"/>
        <color theme="1"/>
        <rFont val="宋体"/>
        <charset val="134"/>
      </rPr>
      <t>产品成本</t>
    </r>
  </si>
  <si>
    <r>
      <rPr>
        <sz val="11"/>
        <color theme="1"/>
        <rFont val="Aptos"/>
        <charset val="134"/>
      </rPr>
      <t xml:space="preserve">local charges </t>
    </r>
    <r>
      <rPr>
        <sz val="11"/>
        <color theme="1"/>
        <rFont val="宋体"/>
        <charset val="134"/>
      </rPr>
      <t>物流费用</t>
    </r>
  </si>
  <si>
    <t>套</t>
  </si>
  <si>
    <t>尼日利亚一个高柜1万人民币到其他港口/一个柜的数量=单个产品物流费</t>
  </si>
  <si>
    <t>人民币总成本</t>
  </si>
  <si>
    <t>Profit</t>
  </si>
  <si>
    <r>
      <rPr>
        <sz val="11"/>
        <color theme="1"/>
        <rFont val="Aptos"/>
        <charset val="134"/>
      </rPr>
      <t xml:space="preserve">Profit </t>
    </r>
    <r>
      <rPr>
        <sz val="11"/>
        <color theme="1"/>
        <rFont val="宋体"/>
        <charset val="134"/>
      </rPr>
      <t>利润</t>
    </r>
  </si>
  <si>
    <t xml:space="preserve">Exchange rate </t>
  </si>
  <si>
    <r>
      <rPr>
        <sz val="11"/>
        <color theme="1"/>
        <rFont val="Aptos"/>
        <charset val="134"/>
      </rPr>
      <t>USD VS RMB</t>
    </r>
    <r>
      <rPr>
        <sz val="11"/>
        <color theme="1"/>
        <rFont val="宋体"/>
        <charset val="134"/>
      </rPr>
      <t>美金兑人民币汇率</t>
    </r>
  </si>
  <si>
    <t xml:space="preserve">Total cost </t>
  </si>
  <si>
    <r>
      <rPr>
        <sz val="11"/>
        <color theme="1"/>
        <rFont val="Aptos"/>
        <charset val="134"/>
      </rPr>
      <t>USD</t>
    </r>
    <r>
      <rPr>
        <sz val="11"/>
        <color theme="1"/>
        <rFont val="宋体"/>
        <charset val="134"/>
      </rPr>
      <t>美金总成本</t>
    </r>
  </si>
  <si>
    <r>
      <rPr>
        <sz val="11"/>
        <color theme="1"/>
        <rFont val="Aptos"/>
        <charset val="134"/>
      </rPr>
      <t>USD</t>
    </r>
    <r>
      <rPr>
        <sz val="11"/>
        <color theme="1"/>
        <rFont val="宋体"/>
        <charset val="134"/>
      </rPr>
      <t>美金销售价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</si>
</sst>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&quot;￥&quot;#,##0.00_);[Red]\(&quot;￥&quot;#,##0.00\)"/>
    <numFmt numFmtId="178" formatCode="\$#,##0.00;\-\$#,##0.00"/>
  </numFmts>
  <fonts count="33">
    <font>
      <sz val="11"/>
      <color theme="1"/>
      <name val="宋体"/>
      <charset val="134"/>
      <scheme val="minor"/>
    </font>
    <font>
      <sz val="11"/>
      <color theme="1"/>
      <name val="Aptos"/>
      <charset val="134"/>
    </font>
    <font>
      <b/>
      <sz val="18"/>
      <color theme="3" tint="-0.249977111117893"/>
      <name val="Aptos"/>
      <charset val="134"/>
    </font>
    <font>
      <b/>
      <sz val="18"/>
      <name val="Aptos"/>
      <charset val="134"/>
    </font>
    <font>
      <sz val="11"/>
      <color rgb="FF000000"/>
      <name val="Aptos"/>
      <charset val="134"/>
    </font>
    <font>
      <sz val="11"/>
      <color theme="1"/>
      <name val="宋体"/>
      <charset val="134"/>
    </font>
    <font>
      <sz val="11"/>
      <name val="Aptos"/>
      <charset val="134"/>
    </font>
    <font>
      <b/>
      <sz val="11"/>
      <color theme="1"/>
      <name val="Aptos"/>
      <charset val="134"/>
    </font>
    <font>
      <b/>
      <sz val="11"/>
      <color theme="0"/>
      <name val="Aptos"/>
      <charset val="134"/>
    </font>
    <font>
      <b/>
      <sz val="11"/>
      <color theme="0"/>
      <name val="宋体"/>
      <charset val="134"/>
    </font>
    <font>
      <sz val="11"/>
      <color rgb="FF000000"/>
      <name val="宋体"/>
      <charset val="134"/>
    </font>
    <font>
      <sz val="11"/>
      <color rgb="FFFF0000"/>
      <name val="Apto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 tint="-0.249977111117893"/>
      <name val="宋体"/>
      <charset val="134"/>
    </font>
    <font>
      <b/>
      <sz val="14"/>
      <color theme="3" tint="-0.249977111117893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4" borderId="1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5" borderId="14" applyNumberFormat="0" applyAlignment="0" applyProtection="0">
      <alignment vertical="center"/>
    </xf>
    <xf numFmtId="0" fontId="21" fillId="16" borderId="15" applyNumberFormat="0" applyAlignment="0" applyProtection="0">
      <alignment vertical="center"/>
    </xf>
    <xf numFmtId="0" fontId="22" fillId="16" borderId="14" applyNumberFormat="0" applyAlignment="0" applyProtection="0">
      <alignment vertical="center"/>
    </xf>
    <xf numFmtId="0" fontId="23" fillId="17" borderId="16" applyNumberFormat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vertical="center" wrapText="1"/>
    </xf>
    <xf numFmtId="0" fontId="2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4" fillId="0" borderId="0" xfId="0" applyFont="1" applyFill="1" applyAlignment="1">
      <alignment wrapText="1"/>
    </xf>
    <xf numFmtId="0" fontId="1" fillId="3" borderId="0" xfId="0" applyFont="1" applyFill="1" applyAlignment="1"/>
    <xf numFmtId="0" fontId="1" fillId="4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/>
    <xf numFmtId="0" fontId="6" fillId="0" borderId="0" xfId="0" applyFont="1" applyFill="1" applyAlignment="1"/>
    <xf numFmtId="0" fontId="1" fillId="5" borderId="0" xfId="0" applyFont="1" applyFill="1" applyAlignment="1">
      <alignment horizontal="left" vertical="top" wrapText="1"/>
    </xf>
    <xf numFmtId="176" fontId="7" fillId="6" borderId="0" xfId="0" applyNumberFormat="1" applyFont="1" applyFill="1" applyAlignment="1">
      <alignment horizontal="center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right" vertical="center"/>
    </xf>
    <xf numFmtId="7" fontId="1" fillId="0" borderId="1" xfId="0" applyNumberFormat="1" applyFont="1" applyFill="1" applyBorder="1" applyAlignment="1">
      <alignment vertical="center"/>
    </xf>
    <xf numFmtId="7" fontId="1" fillId="0" borderId="4" xfId="0" applyNumberFormat="1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right" vertical="center"/>
    </xf>
    <xf numFmtId="7" fontId="4" fillId="0" borderId="4" xfId="0" applyNumberFormat="1" applyFont="1" applyFill="1" applyBorder="1" applyAlignment="1">
      <alignment vertical="center"/>
    </xf>
    <xf numFmtId="7" fontId="4" fillId="0" borderId="1" xfId="0" applyNumberFormat="1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center" vertical="center" wrapText="1"/>
    </xf>
    <xf numFmtId="7" fontId="1" fillId="0" borderId="8" xfId="0" applyNumberFormat="1" applyFont="1" applyFill="1" applyBorder="1" applyAlignment="1">
      <alignment horizontal="right" vertical="center" wrapText="1"/>
    </xf>
    <xf numFmtId="7" fontId="6" fillId="0" borderId="9" xfId="0" applyNumberFormat="1" applyFont="1" applyFill="1" applyBorder="1" applyAlignment="1">
      <alignment horizontal="right" vertical="center" wrapText="1"/>
    </xf>
    <xf numFmtId="7" fontId="4" fillId="0" borderId="7" xfId="0" applyNumberFormat="1" applyFont="1" applyFill="1" applyBorder="1" applyAlignment="1">
      <alignment horizontal="right" vertical="center"/>
    </xf>
    <xf numFmtId="0" fontId="5" fillId="0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177" fontId="4" fillId="0" borderId="8" xfId="0" applyNumberFormat="1" applyFont="1" applyFill="1" applyBorder="1" applyAlignment="1">
      <alignment horizontal="right" vertical="center" wrapText="1"/>
    </xf>
    <xf numFmtId="7" fontId="4" fillId="0" borderId="1" xfId="0" applyNumberFormat="1" applyFont="1" applyFill="1" applyBorder="1" applyAlignment="1">
      <alignment vertical="center" wrapText="1"/>
    </xf>
    <xf numFmtId="7" fontId="11" fillId="0" borderId="1" xfId="0" applyNumberFormat="1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4" fillId="8" borderId="7" xfId="0" applyFont="1" applyFill="1" applyBorder="1" applyAlignment="1">
      <alignment horizontal="center" vertical="center" wrapText="1"/>
    </xf>
    <xf numFmtId="0" fontId="0" fillId="3" borderId="0" xfId="0" applyFill="1" applyAlignment="1" applyProtection="1">
      <alignment vertical="center"/>
      <protection locked="0"/>
    </xf>
    <xf numFmtId="0" fontId="1" fillId="0" borderId="2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/>
    </xf>
    <xf numFmtId="0" fontId="1" fillId="9" borderId="3" xfId="0" applyFont="1" applyFill="1" applyBorder="1" applyAlignment="1">
      <alignment horizontal="right" vertical="center"/>
    </xf>
    <xf numFmtId="7" fontId="1" fillId="9" borderId="1" xfId="0" applyNumberFormat="1" applyFont="1" applyFill="1" applyBorder="1" applyAlignment="1">
      <alignment vertical="center"/>
    </xf>
    <xf numFmtId="0" fontId="1" fillId="0" borderId="5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177" fontId="4" fillId="0" borderId="3" xfId="0" applyNumberFormat="1" applyFont="1" applyFill="1" applyBorder="1" applyAlignment="1">
      <alignment horizontal="right" vertical="center" wrapText="1"/>
    </xf>
    <xf numFmtId="7" fontId="6" fillId="0" borderId="1" xfId="0" applyNumberFormat="1" applyFont="1" applyFill="1" applyBorder="1" applyAlignment="1">
      <alignment vertical="center" wrapText="1"/>
    </xf>
    <xf numFmtId="0" fontId="1" fillId="3" borderId="0" xfId="0" applyFont="1" applyFill="1" applyAlignment="1">
      <alignment vertical="top" wrapText="1"/>
    </xf>
    <xf numFmtId="0" fontId="1" fillId="0" borderId="6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/>
    </xf>
    <xf numFmtId="0" fontId="1" fillId="10" borderId="3" xfId="0" applyFont="1" applyFill="1" applyBorder="1" applyAlignment="1">
      <alignment horizontal="right" vertical="center"/>
    </xf>
    <xf numFmtId="7" fontId="1" fillId="10" borderId="1" xfId="0" applyNumberFormat="1" applyFont="1" applyFill="1" applyBorder="1" applyAlignment="1">
      <alignment vertical="center"/>
    </xf>
    <xf numFmtId="0" fontId="1" fillId="11" borderId="1" xfId="0" applyFont="1" applyFill="1" applyBorder="1" applyAlignment="1">
      <alignment horizontal="left"/>
    </xf>
    <xf numFmtId="0" fontId="1" fillId="11" borderId="1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right" vertical="center"/>
    </xf>
    <xf numFmtId="7" fontId="1" fillId="11" borderId="1" xfId="0" applyNumberFormat="1" applyFont="1" applyFill="1" applyBorder="1" applyAlignment="1">
      <alignment vertical="center"/>
    </xf>
    <xf numFmtId="176" fontId="1" fillId="0" borderId="0" xfId="0" applyNumberFormat="1" applyFont="1" applyFill="1" applyAlignment="1"/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1" fillId="12" borderId="1" xfId="0" applyFont="1" applyFill="1" applyBorder="1" applyAlignment="1"/>
    <xf numFmtId="0" fontId="1" fillId="12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vertical="center"/>
    </xf>
    <xf numFmtId="0" fontId="1" fillId="12" borderId="1" xfId="0" applyFont="1" applyFill="1" applyBorder="1" applyAlignment="1">
      <alignment horizontal="right" vertical="center"/>
    </xf>
    <xf numFmtId="178" fontId="1" fillId="12" borderId="1" xfId="0" applyNumberFormat="1" applyFont="1" applyFill="1" applyBorder="1" applyAlignment="1">
      <alignment vertical="center"/>
    </xf>
    <xf numFmtId="178" fontId="6" fillId="12" borderId="1" xfId="0" applyNumberFormat="1" applyFont="1" applyFill="1" applyBorder="1" applyAlignment="1">
      <alignment vertical="center"/>
    </xf>
    <xf numFmtId="178" fontId="6" fillId="0" borderId="0" xfId="0" applyNumberFormat="1" applyFont="1" applyFill="1" applyAlignment="1"/>
    <xf numFmtId="0" fontId="1" fillId="13" borderId="1" xfId="0" applyFont="1" applyFill="1" applyBorder="1" applyAlignment="1"/>
    <xf numFmtId="178" fontId="1" fillId="13" borderId="1" xfId="0" applyNumberFormat="1" applyFont="1" applyFill="1" applyBorder="1" applyAlignment="1"/>
    <xf numFmtId="0" fontId="1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969010</xdr:colOff>
      <xdr:row>6</xdr:row>
      <xdr:rowOff>227965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27420" y="579120"/>
          <a:ext cx="969010" cy="104330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5080</xdr:colOff>
          <xdr:row>40</xdr:row>
          <xdr:rowOff>33020</xdr:rowOff>
        </xdr:from>
        <xdr:to>
          <xdr:col>10</xdr:col>
          <xdr:colOff>43180</xdr:colOff>
          <xdr:row>50</xdr:row>
          <xdr:rowOff>116840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032500" y="11106150"/>
              <a:ext cx="4282440" cy="183642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Y\&#37329;&#22362;\&#25253;&#20215;&#21333;\&#27979;&#35797;&#25253;&#20215;&#21333;\Pacaembu%20CIF%20quote-elsi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ilet bowl "/>
      <sheetName val="Dual flush toilet tank"/>
      <sheetName val="Wall hung sink "/>
      <sheetName val="Laundry sink"/>
      <sheetName val="RFQ"/>
      <sheetName val="Quote form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emf"/><Relationship Id="rId3" Type="http://schemas.openxmlformats.org/officeDocument/2006/relationships/package" Target="../embeddings/Workbook1.xls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tabSelected="1" workbookViewId="0">
      <selection activeCell="N3" sqref="N3"/>
    </sheetView>
  </sheetViews>
  <sheetFormatPr defaultColWidth="45" defaultRowHeight="13.8"/>
  <cols>
    <col min="1" max="1" width="22.8888888888889" style="1" customWidth="1"/>
    <col min="2" max="2" width="40.1111111111111" style="1" customWidth="1"/>
    <col min="3" max="4" width="12.4444444444444" style="1" customWidth="1"/>
    <col min="5" max="5" width="14.8888888888889" style="1" customWidth="1"/>
    <col min="6" max="6" width="14.7777777777778" style="1" customWidth="1"/>
    <col min="7" max="7" width="6.77777777777778" style="1" customWidth="1"/>
    <col min="8" max="8" width="5.88888888888889" style="1" customWidth="1"/>
    <col min="9" max="9" width="9.44444444444444" style="1" customWidth="1"/>
    <col min="10" max="11" width="10.1111111111111" style="1" customWidth="1"/>
    <col min="12" max="13" width="9.11111111111111" style="1" customWidth="1"/>
    <col min="14" max="14" width="17.3333333333333" style="1" customWidth="1"/>
    <col min="15" max="16384" width="45" style="1"/>
  </cols>
  <sheetData>
    <row r="1" s="1" customFormat="1" ht="22.8" spans="1:1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="1" customFormat="1" ht="22.8" spans="1:1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="1" customFormat="1" ht="14.4" spans="1:14">
      <c r="A3" s="1" t="s">
        <v>1</v>
      </c>
      <c r="D3" s="1" t="s">
        <v>2</v>
      </c>
    </row>
    <row r="4" s="1" customFormat="1" ht="14.4" spans="1:14">
      <c r="A4" s="1" t="s">
        <v>3</v>
      </c>
      <c r="B4" s="1" t="s">
        <v>4</v>
      </c>
    </row>
    <row r="5" s="1" customFormat="1" ht="14.4" spans="1:14">
      <c r="A5" s="1" t="s">
        <v>5</v>
      </c>
      <c r="B5" s="6" t="s">
        <v>6</v>
      </c>
      <c r="I5" s="7" t="s">
        <v>7</v>
      </c>
      <c r="J5" s="7"/>
      <c r="K5" s="7"/>
      <c r="L5" s="8" t="s">
        <v>8</v>
      </c>
      <c r="M5" s="8" t="s">
        <v>9</v>
      </c>
    </row>
    <row r="6" s="1" customFormat="1" ht="21" customHeight="1" spans="1:14">
      <c r="A6" s="1" t="s">
        <v>10</v>
      </c>
      <c r="B6" s="9"/>
      <c r="J6" s="10"/>
    </row>
    <row r="7" s="1" customFormat="1" ht="58" customHeight="1" spans="1:14">
      <c r="A7" s="1" t="s">
        <v>11</v>
      </c>
      <c r="G7" s="11" t="s">
        <v>12</v>
      </c>
      <c r="I7" s="12" t="s">
        <v>13</v>
      </c>
      <c r="J7" s="12"/>
      <c r="K7" s="12"/>
      <c r="L7" s="1" t="s">
        <v>14</v>
      </c>
      <c r="M7" s="1" t="s">
        <v>15</v>
      </c>
    </row>
    <row r="8" s="1" customFormat="1" spans="1:14">
      <c r="L8" s="13">
        <v>0.3</v>
      </c>
      <c r="M8" s="13">
        <v>0.03</v>
      </c>
    </row>
    <row r="9" s="2" customFormat="1" ht="57.6" spans="1:14">
      <c r="A9" s="14" t="s">
        <v>16</v>
      </c>
      <c r="B9" s="14" t="s">
        <v>17</v>
      </c>
      <c r="C9" s="14" t="s">
        <v>18</v>
      </c>
      <c r="D9" s="14" t="s">
        <v>19</v>
      </c>
      <c r="E9" s="15" t="s">
        <v>20</v>
      </c>
      <c r="F9" s="15" t="s">
        <v>21</v>
      </c>
      <c r="G9" s="14" t="s">
        <v>22</v>
      </c>
      <c r="H9" s="14" t="s">
        <v>23</v>
      </c>
      <c r="I9" s="14" t="s">
        <v>24</v>
      </c>
      <c r="J9" s="14" t="s">
        <v>25</v>
      </c>
      <c r="K9" s="16" t="s">
        <v>26</v>
      </c>
      <c r="L9" s="16" t="s">
        <v>27</v>
      </c>
      <c r="M9" s="16" t="s">
        <v>28</v>
      </c>
    </row>
    <row r="10" s="1" customFormat="1" ht="14.4" spans="1:14">
      <c r="A10" s="17" t="s">
        <v>29</v>
      </c>
      <c r="B10" s="18" t="s">
        <v>30</v>
      </c>
      <c r="C10" s="19"/>
      <c r="D10" s="18"/>
      <c r="E10" s="18"/>
      <c r="F10" s="20"/>
      <c r="G10" s="21"/>
      <c r="H10" s="22"/>
      <c r="I10" s="23"/>
      <c r="J10" s="24"/>
      <c r="K10" s="25"/>
      <c r="L10" s="24"/>
      <c r="M10" s="24"/>
      <c r="N10" s="2"/>
    </row>
    <row r="11" s="1" customFormat="1" ht="14.4" spans="1:14">
      <c r="A11" s="26"/>
      <c r="B11" s="18" t="s">
        <v>31</v>
      </c>
      <c r="C11" s="19"/>
      <c r="D11" s="18"/>
      <c r="E11" s="18"/>
      <c r="F11" s="27"/>
      <c r="G11" s="21"/>
      <c r="H11" s="22"/>
      <c r="I11" s="23"/>
      <c r="J11" s="24"/>
      <c r="K11" s="25"/>
      <c r="L11" s="24"/>
      <c r="M11" s="24"/>
      <c r="N11" s="2"/>
    </row>
    <row r="12" s="1" customFormat="1" ht="14.4" spans="1:14">
      <c r="A12" s="26"/>
      <c r="B12" s="18" t="s">
        <v>32</v>
      </c>
      <c r="C12" s="18" t="s">
        <v>4</v>
      </c>
      <c r="D12" s="18"/>
      <c r="E12" s="18"/>
      <c r="F12" s="18" t="s">
        <v>33</v>
      </c>
      <c r="G12" s="28" t="s">
        <v>34</v>
      </c>
      <c r="H12" s="29">
        <v>1</v>
      </c>
      <c r="I12" s="24">
        <v>47.8247810413976</v>
      </c>
      <c r="J12" s="24">
        <f>I12</f>
        <v>47.8247810413976</v>
      </c>
      <c r="K12" s="25">
        <f>J12</f>
        <v>47.8247810413976</v>
      </c>
      <c r="L12" s="24">
        <f t="shared" ref="L12:L15" si="0">IF(K12="","",K12)</f>
        <v>47.8247810413976</v>
      </c>
      <c r="M12" s="24"/>
      <c r="N12" s="2"/>
    </row>
    <row r="13" s="1" customFormat="1" ht="14.4" spans="1:14">
      <c r="A13" s="26"/>
      <c r="B13" s="18" t="s">
        <v>35</v>
      </c>
      <c r="C13" s="18"/>
      <c r="D13" s="18"/>
      <c r="E13" s="18"/>
      <c r="F13" s="18"/>
      <c r="G13" s="18"/>
      <c r="H13" s="29"/>
      <c r="I13" s="23"/>
      <c r="J13" s="24"/>
      <c r="K13" s="25"/>
      <c r="L13" s="24" t="str">
        <f t="shared" si="0"/>
        <v/>
      </c>
      <c r="M13" s="24"/>
      <c r="N13" s="2"/>
    </row>
    <row r="14" s="1" customFormat="1" spans="1:14">
      <c r="A14" s="26"/>
      <c r="B14" s="18" t="s">
        <v>36</v>
      </c>
      <c r="C14" s="18"/>
      <c r="D14" s="18"/>
      <c r="E14" s="18"/>
      <c r="F14" s="18"/>
      <c r="G14" s="18"/>
      <c r="H14" s="29"/>
      <c r="I14" s="23"/>
      <c r="J14" s="24"/>
      <c r="K14" s="25"/>
      <c r="L14" s="24" t="str">
        <f t="shared" si="0"/>
        <v/>
      </c>
      <c r="M14" s="24"/>
      <c r="N14" s="2"/>
    </row>
    <row r="15" s="1" customFormat="1" ht="14.4" spans="1:14">
      <c r="A15" s="30"/>
      <c r="B15" s="18" t="s">
        <v>37</v>
      </c>
      <c r="C15" s="31"/>
      <c r="D15" s="31"/>
      <c r="E15" s="31"/>
      <c r="F15" s="31"/>
      <c r="G15" s="31"/>
      <c r="H15" s="32"/>
      <c r="I15" s="33"/>
      <c r="J15" s="24"/>
      <c r="K15" s="34"/>
      <c r="L15" s="24" t="str">
        <f t="shared" si="0"/>
        <v/>
      </c>
      <c r="M15" s="35"/>
      <c r="N15" s="2"/>
    </row>
    <row r="16" s="1" customFormat="1" ht="14.4" spans="1:14">
      <c r="A16" s="36"/>
      <c r="B16" s="18" t="s">
        <v>38</v>
      </c>
      <c r="C16" s="37"/>
      <c r="D16" s="37"/>
      <c r="E16" s="37"/>
      <c r="F16" s="37"/>
      <c r="G16" s="37"/>
      <c r="H16" s="37"/>
      <c r="I16" s="38"/>
      <c r="J16" s="24"/>
      <c r="K16" s="39"/>
      <c r="L16" s="40"/>
      <c r="M16" s="24" t="str">
        <f t="shared" ref="M16:M26" si="1">IF(K16="","",K16)</f>
        <v/>
      </c>
      <c r="N16" s="41"/>
    </row>
    <row r="17" s="1" customFormat="1" ht="35.1" customHeight="1" spans="1:14">
      <c r="A17" s="26" t="s">
        <v>39</v>
      </c>
      <c r="B17" s="18" t="s">
        <v>40</v>
      </c>
      <c r="C17" s="21"/>
      <c r="D17" s="21"/>
      <c r="E17" s="21"/>
      <c r="F17" s="21"/>
      <c r="G17" s="21"/>
      <c r="H17" s="21"/>
      <c r="I17" s="42"/>
      <c r="J17" s="24"/>
      <c r="K17" s="24"/>
      <c r="L17" s="21"/>
      <c r="M17" s="24" t="str">
        <f t="shared" si="1"/>
        <v/>
      </c>
    </row>
    <row r="18" s="1" customFormat="1" ht="35.1" customHeight="1" spans="1:14">
      <c r="A18" s="26"/>
      <c r="B18" s="18" t="s">
        <v>41</v>
      </c>
      <c r="C18" s="21"/>
      <c r="D18" s="21"/>
      <c r="E18" s="21"/>
      <c r="F18" s="21"/>
      <c r="G18" s="21"/>
      <c r="H18" s="21"/>
      <c r="I18" s="42"/>
      <c r="J18" s="24"/>
      <c r="K18" s="24"/>
      <c r="L18" s="21"/>
      <c r="M18" s="24" t="str">
        <f t="shared" si="1"/>
        <v/>
      </c>
    </row>
    <row r="19" s="1" customFormat="1" ht="35.1" customHeight="1" spans="1:14">
      <c r="A19" s="26"/>
      <c r="B19" s="18" t="s">
        <v>42</v>
      </c>
      <c r="C19" s="21"/>
      <c r="D19" s="21"/>
      <c r="E19" s="21"/>
      <c r="F19" s="21"/>
      <c r="G19" s="21"/>
      <c r="H19" s="21"/>
      <c r="I19" s="42"/>
      <c r="J19" s="24"/>
      <c r="K19" s="24"/>
      <c r="L19" s="21"/>
      <c r="M19" s="24" t="str">
        <f t="shared" si="1"/>
        <v/>
      </c>
    </row>
    <row r="20" s="1" customFormat="1" ht="35.1" customHeight="1" spans="1:14">
      <c r="A20" s="26"/>
      <c r="B20" s="18" t="s">
        <v>43</v>
      </c>
      <c r="C20" s="21"/>
      <c r="D20" s="21"/>
      <c r="E20" s="21"/>
      <c r="F20" s="21"/>
      <c r="G20" s="21"/>
      <c r="H20" s="21"/>
      <c r="I20" s="42"/>
      <c r="J20" s="24"/>
      <c r="K20" s="24"/>
      <c r="L20" s="21"/>
      <c r="M20" s="24" t="str">
        <f t="shared" si="1"/>
        <v/>
      </c>
    </row>
    <row r="21" s="1" customFormat="1" ht="35.1" customHeight="1" spans="1:14">
      <c r="A21" s="26"/>
      <c r="B21" s="18" t="s">
        <v>44</v>
      </c>
      <c r="C21" s="21"/>
      <c r="D21" s="21"/>
      <c r="E21" s="21"/>
      <c r="F21" s="21"/>
      <c r="G21" s="21"/>
      <c r="H21" s="21"/>
      <c r="I21" s="42"/>
      <c r="J21" s="24"/>
      <c r="K21" s="24"/>
      <c r="L21" s="21"/>
      <c r="M21" s="24" t="str">
        <f t="shared" si="1"/>
        <v/>
      </c>
    </row>
    <row r="22" s="1" customFormat="1" ht="35.1" customHeight="1" spans="1:14">
      <c r="A22" s="30"/>
      <c r="B22" s="18" t="s">
        <v>37</v>
      </c>
      <c r="C22" s="21"/>
      <c r="D22" s="21"/>
      <c r="E22" s="21"/>
      <c r="F22" s="21"/>
      <c r="G22" s="21"/>
      <c r="H22" s="21"/>
      <c r="I22" s="42"/>
      <c r="J22" s="24"/>
      <c r="K22" s="24"/>
      <c r="L22" s="21"/>
      <c r="M22" s="24" t="str">
        <f t="shared" si="1"/>
        <v/>
      </c>
    </row>
    <row r="23" s="1" customFormat="1" ht="14.4" spans="1:14">
      <c r="A23" s="20" t="s">
        <v>45</v>
      </c>
      <c r="B23" s="27" t="s">
        <v>46</v>
      </c>
      <c r="C23" s="21"/>
      <c r="D23" s="43"/>
      <c r="E23" s="21"/>
      <c r="F23" s="21"/>
      <c r="G23" s="44" t="s">
        <v>47</v>
      </c>
      <c r="H23" s="45">
        <v>1</v>
      </c>
      <c r="I23" s="46">
        <v>2</v>
      </c>
      <c r="J23" s="24">
        <f t="shared" ref="J23:J25" si="2">I23</f>
        <v>2</v>
      </c>
      <c r="K23" s="24">
        <f t="shared" ref="K23:K25" si="3">J23</f>
        <v>2</v>
      </c>
      <c r="L23" s="47"/>
      <c r="M23" s="24">
        <f t="shared" si="1"/>
        <v>2</v>
      </c>
    </row>
    <row r="24" s="1" customFormat="1" ht="14.4" spans="1:14">
      <c r="A24" s="36"/>
      <c r="B24" s="18" t="s">
        <v>48</v>
      </c>
      <c r="C24" s="21"/>
      <c r="D24" s="43"/>
      <c r="E24" s="21"/>
      <c r="F24" s="21"/>
      <c r="G24" s="28" t="s">
        <v>34</v>
      </c>
      <c r="H24" s="45">
        <v>1</v>
      </c>
      <c r="I24" s="46">
        <v>6</v>
      </c>
      <c r="J24" s="24">
        <f t="shared" si="2"/>
        <v>6</v>
      </c>
      <c r="K24" s="24">
        <f t="shared" si="3"/>
        <v>6</v>
      </c>
      <c r="L24" s="48"/>
      <c r="M24" s="24">
        <f t="shared" si="1"/>
        <v>6</v>
      </c>
    </row>
    <row r="25" s="1" customFormat="1" ht="14.4" spans="1:14">
      <c r="A25" s="36"/>
      <c r="B25" s="18" t="s">
        <v>49</v>
      </c>
      <c r="C25" s="21"/>
      <c r="D25" s="43"/>
      <c r="E25" s="21"/>
      <c r="F25" s="21"/>
      <c r="G25" s="49" t="s">
        <v>34</v>
      </c>
      <c r="H25" s="50">
        <v>1</v>
      </c>
      <c r="I25" s="46">
        <v>12.8</v>
      </c>
      <c r="J25" s="24">
        <f t="shared" si="2"/>
        <v>12.8</v>
      </c>
      <c r="K25" s="24">
        <f t="shared" si="3"/>
        <v>12.8</v>
      </c>
      <c r="L25" s="48"/>
      <c r="M25" s="24">
        <f t="shared" si="1"/>
        <v>12.8</v>
      </c>
    </row>
    <row r="26" s="1" customFormat="1" ht="35.1" customHeight="1" spans="1:14">
      <c r="A26" s="27"/>
      <c r="B26" s="18" t="s">
        <v>50</v>
      </c>
      <c r="C26" s="21"/>
      <c r="D26" s="21"/>
      <c r="E26" s="21"/>
      <c r="F26" s="21"/>
      <c r="G26" s="21"/>
      <c r="H26" s="21"/>
      <c r="I26" s="42"/>
      <c r="J26" s="21"/>
      <c r="K26" s="24"/>
      <c r="L26" s="21"/>
      <c r="M26" s="24" t="str">
        <f t="shared" si="1"/>
        <v/>
      </c>
    </row>
    <row r="27" s="1" customFormat="1" ht="14.4" spans="1:14">
      <c r="A27" s="18" t="s">
        <v>51</v>
      </c>
      <c r="B27" s="51" t="s">
        <v>52</v>
      </c>
      <c r="C27" s="51"/>
      <c r="D27" s="51"/>
      <c r="E27" s="51"/>
      <c r="F27" s="51"/>
      <c r="G27" s="52"/>
      <c r="H27" s="45"/>
      <c r="I27" s="24">
        <v>6.24659047417853</v>
      </c>
      <c r="J27" s="24">
        <f t="shared" ref="J27:J31" si="4">I27</f>
        <v>6.24659047417853</v>
      </c>
      <c r="K27" s="24">
        <f t="shared" ref="K27:K31" si="5">J27</f>
        <v>6.24659047417853</v>
      </c>
      <c r="L27" s="24">
        <f t="shared" ref="L27:L31" si="6">IF(K27="","",K27)</f>
        <v>6.24659047417853</v>
      </c>
      <c r="M27" s="24"/>
      <c r="N27" s="53" t="s">
        <v>53</v>
      </c>
    </row>
    <row r="28" s="1" customFormat="1" ht="14.4" spans="1:14">
      <c r="A28" s="18"/>
      <c r="B28" s="51" t="s">
        <v>54</v>
      </c>
      <c r="C28" s="51"/>
      <c r="D28" s="51"/>
      <c r="E28" s="51"/>
      <c r="F28" s="51"/>
      <c r="G28" s="52"/>
      <c r="H28" s="45"/>
      <c r="I28" s="24">
        <v>0.97602987139373</v>
      </c>
      <c r="J28" s="24">
        <f t="shared" si="4"/>
        <v>0.97602987139373</v>
      </c>
      <c r="K28" s="24">
        <f t="shared" si="5"/>
        <v>0.97602987139373</v>
      </c>
      <c r="L28" s="24">
        <f t="shared" si="6"/>
        <v>0.97602987139373</v>
      </c>
      <c r="M28" s="24"/>
      <c r="N28" s="53" t="s">
        <v>53</v>
      </c>
    </row>
    <row r="29" s="1" customFormat="1" ht="14.4" spans="1:14">
      <c r="A29" s="18" t="s">
        <v>55</v>
      </c>
      <c r="B29" s="51" t="s">
        <v>56</v>
      </c>
      <c r="C29" s="51"/>
      <c r="D29" s="51"/>
      <c r="E29" s="51"/>
      <c r="F29" s="51"/>
      <c r="G29" s="52"/>
      <c r="H29" s="45"/>
      <c r="I29" s="24">
        <v>9.43511900038598</v>
      </c>
      <c r="J29" s="24">
        <f t="shared" si="4"/>
        <v>9.43511900038598</v>
      </c>
      <c r="K29" s="24">
        <f t="shared" si="5"/>
        <v>9.43511900038598</v>
      </c>
      <c r="L29" s="24">
        <f t="shared" si="6"/>
        <v>9.43511900038598</v>
      </c>
      <c r="M29" s="24"/>
      <c r="N29" s="53" t="s">
        <v>53</v>
      </c>
    </row>
    <row r="30" s="1" customFormat="1" ht="14.4" spans="1:14">
      <c r="A30" s="18" t="s">
        <v>57</v>
      </c>
      <c r="B30" s="18" t="s">
        <v>58</v>
      </c>
      <c r="C30" s="18"/>
      <c r="D30" s="18"/>
      <c r="E30" s="18"/>
      <c r="F30" s="18"/>
      <c r="G30" s="52"/>
      <c r="H30" s="45"/>
      <c r="I30" s="24">
        <v>2.55483100020165</v>
      </c>
      <c r="J30" s="24">
        <f t="shared" si="4"/>
        <v>2.55483100020165</v>
      </c>
      <c r="K30" s="24">
        <f t="shared" si="5"/>
        <v>2.55483100020165</v>
      </c>
      <c r="L30" s="24">
        <f t="shared" si="6"/>
        <v>2.55483100020165</v>
      </c>
      <c r="M30" s="24"/>
      <c r="N30" s="53" t="s">
        <v>53</v>
      </c>
    </row>
    <row r="31" s="1" customFormat="1" ht="14.4" spans="1:14">
      <c r="A31" s="18"/>
      <c r="B31" s="18" t="s">
        <v>59</v>
      </c>
      <c r="C31" s="18"/>
      <c r="D31" s="18"/>
      <c r="E31" s="18"/>
      <c r="F31" s="18"/>
      <c r="G31" s="52"/>
      <c r="H31" s="45"/>
      <c r="I31" s="24">
        <v>7</v>
      </c>
      <c r="J31" s="24">
        <f t="shared" si="4"/>
        <v>7</v>
      </c>
      <c r="K31" s="24">
        <f t="shared" si="5"/>
        <v>7</v>
      </c>
      <c r="L31" s="24">
        <f t="shared" si="6"/>
        <v>7</v>
      </c>
      <c r="M31" s="24"/>
      <c r="N31" s="53" t="s">
        <v>53</v>
      </c>
    </row>
    <row r="32" s="1" customFormat="1" ht="14.4" spans="1:14">
      <c r="A32" s="54" t="s">
        <v>60</v>
      </c>
      <c r="B32" s="55" t="s">
        <v>61</v>
      </c>
      <c r="C32" s="55"/>
      <c r="D32" s="55"/>
      <c r="E32" s="55"/>
      <c r="F32" s="55"/>
      <c r="G32" s="55"/>
      <c r="H32" s="56"/>
      <c r="I32" s="57"/>
      <c r="J32" s="58">
        <f t="shared" ref="J32:M32" si="7">SUM(J10:J31)</f>
        <v>94.8373513875575</v>
      </c>
      <c r="K32" s="58">
        <f t="shared" si="7"/>
        <v>94.8373513875575</v>
      </c>
      <c r="L32" s="58">
        <f t="shared" si="7"/>
        <v>74.0373513875575</v>
      </c>
      <c r="M32" s="58">
        <f t="shared" si="7"/>
        <v>20.8</v>
      </c>
    </row>
    <row r="33" s="1" customFormat="1" ht="57.6" spans="1:14">
      <c r="A33" s="59"/>
      <c r="B33" s="19" t="s">
        <v>62</v>
      </c>
      <c r="C33" s="19"/>
      <c r="D33" s="19"/>
      <c r="E33" s="19"/>
      <c r="F33" s="19"/>
      <c r="G33" s="52" t="s">
        <v>63</v>
      </c>
      <c r="H33" s="60">
        <v>1</v>
      </c>
      <c r="I33" s="61"/>
      <c r="J33" s="47">
        <f>(3500*6.9+10000)/600</f>
        <v>56.9166666666667</v>
      </c>
      <c r="K33" s="24">
        <f t="shared" ref="K33:K38" si="8">J33</f>
        <v>56.9166666666667</v>
      </c>
      <c r="L33" s="62">
        <f>IF(K33="","",K33)</f>
        <v>56.9166666666667</v>
      </c>
      <c r="M33" s="48"/>
      <c r="N33" s="63" t="s">
        <v>64</v>
      </c>
    </row>
    <row r="34" s="1" customFormat="1" ht="14.4" spans="1:14">
      <c r="A34" s="64"/>
      <c r="B34" s="65" t="s">
        <v>65</v>
      </c>
      <c r="C34" s="66"/>
      <c r="D34" s="66"/>
      <c r="E34" s="66"/>
      <c r="F34" s="66"/>
      <c r="G34" s="66"/>
      <c r="H34" s="67"/>
      <c r="I34" s="68"/>
      <c r="J34" s="69">
        <f t="shared" ref="J34:M34" si="9">SUM(J32:J33)</f>
        <v>151.754018054224</v>
      </c>
      <c r="K34" s="69">
        <f t="shared" si="8"/>
        <v>151.754018054224</v>
      </c>
      <c r="L34" s="69">
        <f t="shared" si="9"/>
        <v>130.954018054224</v>
      </c>
      <c r="M34" s="69">
        <f t="shared" si="9"/>
        <v>20.8</v>
      </c>
    </row>
    <row r="35" s="1" customFormat="1" ht="14.4" spans="1:14">
      <c r="A35" s="70" t="s">
        <v>66</v>
      </c>
      <c r="B35" s="71" t="s">
        <v>67</v>
      </c>
      <c r="C35" s="71"/>
      <c r="D35" s="71"/>
      <c r="E35" s="71"/>
      <c r="F35" s="71"/>
      <c r="G35" s="71"/>
      <c r="H35" s="70"/>
      <c r="I35" s="72"/>
      <c r="J35" s="73">
        <f>J32*0.3</f>
        <v>28.4512054162672</v>
      </c>
      <c r="K35" s="73">
        <f t="shared" si="8"/>
        <v>28.4512054162672</v>
      </c>
      <c r="L35" s="73">
        <f>IF(L32=0,"",L32*L$8)</f>
        <v>22.2112054162672</v>
      </c>
      <c r="M35" s="73">
        <f>IF(M32=0,"",M32*M$8)</f>
        <v>0.624</v>
      </c>
      <c r="N35" s="74"/>
    </row>
    <row r="36" s="1" customFormat="1" ht="14.4" spans="1:14">
      <c r="A36" s="29" t="s">
        <v>68</v>
      </c>
      <c r="B36" s="18" t="s">
        <v>69</v>
      </c>
      <c r="C36" s="18"/>
      <c r="D36" s="18"/>
      <c r="E36" s="18"/>
      <c r="F36" s="18"/>
      <c r="G36" s="18"/>
      <c r="H36" s="29"/>
      <c r="I36" s="75"/>
      <c r="J36" s="76">
        <v>6.6</v>
      </c>
      <c r="K36" s="76">
        <f t="shared" si="8"/>
        <v>6.6</v>
      </c>
      <c r="L36" s="77">
        <f>IF(K36="","",K36)</f>
        <v>6.6</v>
      </c>
      <c r="M36" s="77">
        <f>IF(K36="","",K36)</f>
        <v>6.6</v>
      </c>
      <c r="N36" s="11"/>
    </row>
    <row r="37" s="1" customFormat="1" ht="14.4" spans="1:14">
      <c r="A37" s="78" t="s">
        <v>70</v>
      </c>
      <c r="B37" s="79" t="s">
        <v>71</v>
      </c>
      <c r="C37" s="79"/>
      <c r="D37" s="79"/>
      <c r="E37" s="79"/>
      <c r="F37" s="79"/>
      <c r="G37" s="80"/>
      <c r="H37" s="78"/>
      <c r="I37" s="81"/>
      <c r="J37" s="82">
        <f>J34/J36</f>
        <v>22.9930330385188</v>
      </c>
      <c r="K37" s="82">
        <f t="shared" si="8"/>
        <v>22.9930330385188</v>
      </c>
      <c r="L37" s="83">
        <f>IF(OR(L34=0,L36=""),"",L34/L36)</f>
        <v>19.8415178870037</v>
      </c>
      <c r="M37" s="83">
        <f>IF(OR(M34=0,M36=""),"",M34/M36)</f>
        <v>3.15151515151515</v>
      </c>
      <c r="N37" s="84">
        <f>SUM(L37:M37)</f>
        <v>22.9930330385188</v>
      </c>
    </row>
    <row r="38" s="1" customFormat="1" ht="14.4" spans="1:14">
      <c r="A38" s="85"/>
      <c r="B38" s="85" t="s">
        <v>72</v>
      </c>
      <c r="C38" s="85"/>
      <c r="D38" s="85"/>
      <c r="E38" s="85"/>
      <c r="F38" s="85"/>
      <c r="G38" s="85"/>
      <c r="H38" s="85"/>
      <c r="I38" s="85"/>
      <c r="J38" s="86">
        <f>(J35+J34)/J36</f>
        <v>27.3038217379532</v>
      </c>
      <c r="K38" s="86">
        <f t="shared" si="8"/>
        <v>27.3038217379532</v>
      </c>
      <c r="L38" s="86">
        <f>IF(OR(L34=0,L36=""),"",(L35+L34)/L36)</f>
        <v>23.2068520409835</v>
      </c>
      <c r="M38" s="86">
        <f>IF(OR(M34=0,M36=""),"",(M35+M34)/M36)</f>
        <v>3.24606060606061</v>
      </c>
      <c r="N38" s="86">
        <f>(L38+M38)</f>
        <v>26.4529126470442</v>
      </c>
    </row>
    <row r="39" s="1" customFormat="1" spans="1:14">
      <c r="J39" s="87"/>
    </row>
  </sheetData>
  <mergeCells count="9">
    <mergeCell ref="A1:J1"/>
    <mergeCell ref="I7:K7"/>
    <mergeCell ref="A10:A15"/>
    <mergeCell ref="A17:A22"/>
    <mergeCell ref="A23:A26"/>
    <mergeCell ref="A27:A28"/>
    <mergeCell ref="A30:A31"/>
    <mergeCell ref="A32:A34"/>
    <mergeCell ref="F10:F11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5" progId="Excel.Sheet.12" r:id="rId3">
          <objectPr defaultSize="0" r:id="rId4">
            <anchor moveWithCells="1">
              <from>
                <xdr:col>4</xdr:col>
                <xdr:colOff>5080</xdr:colOff>
                <xdr:row>40</xdr:row>
                <xdr:rowOff>33020</xdr:rowOff>
              </from>
              <to>
                <xdr:col>10</xdr:col>
                <xdr:colOff>43180</xdr:colOff>
                <xdr:row>50</xdr:row>
                <xdr:rowOff>116840</xdr:rowOff>
              </to>
            </anchor>
          </objectPr>
        </oleObject>
      </mc:Choice>
      <mc:Fallback>
        <oleObject shapeId="1025" progId="Excel.Sheet.12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李新岩</cp:lastModifiedBy>
  <dcterms:created xsi:type="dcterms:W3CDTF">2026-05-25T06:27:20Z</dcterms:created>
  <dcterms:modified xsi:type="dcterms:W3CDTF">2026-05-25T06:27:46Z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9704A5775A17435DA1AD1E46E7772747_11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