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首页" sheetId="1" state="visible" r:id="rId1"/>
    <sheet xmlns:r="http://schemas.openxmlformats.org/officeDocument/2006/relationships" name="产品包装信息" sheetId="2" state="hidden" r:id="rId2"/>
    <sheet xmlns:r="http://schemas.openxmlformats.org/officeDocument/2006/relationships" name="装柜测算" sheetId="3" state="visible" r:id="rId3"/>
    <sheet xmlns:r="http://schemas.openxmlformats.org/officeDocument/2006/relationships" name="价格口径检查" sheetId="4" state="visible" r:id="rId4"/>
    <sheet xmlns:r="http://schemas.openxmlformats.org/officeDocument/2006/relationships" name="BOM" sheetId="5" state="visible" r:id="rId5"/>
    <sheet xmlns:r="http://schemas.openxmlformats.org/officeDocument/2006/relationships" name="物流参数" sheetId="6" state="visible" r:id="rId6"/>
    <sheet xmlns:r="http://schemas.openxmlformats.org/officeDocument/2006/relationships" name="物流测算" sheetId="7" state="visible" r:id="rId7"/>
    <sheet xmlns:r="http://schemas.openxmlformats.org/officeDocument/2006/relationships" name="CustomerQuote" sheetId="8" state="visible" r:id="rId8"/>
    <sheet xmlns:r="http://schemas.openxmlformats.org/officeDocument/2006/relationships" name="InternalCost" sheetId="9" state="visible" r:id="rId9"/>
    <sheet xmlns:r="http://schemas.openxmlformats.org/officeDocument/2006/relationships" name="Lists" sheetId="10" state="hidden" r:id="rId10"/>
  </sheets>
  <definedNames>
    <definedName name="NigeriaCostTerms">Lists!$A$1:$A$4</definedName>
    <definedName name="ChinaCostTerms">Lists!$B$1:$B$5</definedName>
    <definedName name="ManualCostTerms">Lists!$C$1:$C$1</definedName>
    <definedName name="QuoteSources">Lists!$D$1:$D$4</definedName>
    <definedName name="SupplyPaths">Lists!$E$1:$E$4</definedName>
    <definedName name="CostHandling">Lists!$F$1:$F$4</definedName>
    <definedName name="YesNo">Lists!$G$1:$G$2</definedName>
    <definedName name="Currencies">Lists!$H$1:$H$2</definedName>
    <definedName name="CustomerTerms">Lists!$I$1:$I$5</definedName>
    <definedName name="QuoteDisplayModes">Lists!$J$1:$J$2</definedName>
    <definedName name="AllocationMethods">Lists!$K$1:$K$4</definedName>
    <definedName name="EnableStatus">Lists!$L$1:$L$2</definedName>
    <definedName name="LogisticsInputModes">Lists!$M$1:$M$2</definedName>
    <definedName name="LogisticsBasisModes">Lists!$N$1:$N$3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666666"/>
      <sz val="11"/>
    </font>
    <font>
      <name val="Microsoft YaHei"/>
      <b val="1"/>
      <color rgb="00FFFFFF"/>
    </font>
    <font>
      <name val="Calibri"/>
      <b val="1"/>
      <color rgb="00FFFFFF"/>
      <sz val="16"/>
    </font>
    <font>
      <name val="Calibri"/>
      <b val="1"/>
      <sz val="10"/>
    </font>
    <font>
      <name val="Calibri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7F7F7"/>
      </patternFill>
    </fill>
    <fill>
      <patternFill patternType="solid">
        <fgColor rgb="00E7E6E6"/>
      </patternFill>
    </fill>
    <fill>
      <patternFill patternType="solid">
        <fgColor rgb="0066666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4" fontId="2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4" fontId="0" fillId="6" borderId="1" applyAlignment="1" pivotButton="0" quotePrefix="0" xfId="0">
      <alignment horizontal="left" vertical="center" wrapText="1"/>
    </xf>
    <xf numFmtId="10" fontId="0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6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4" borderId="1" pivotButton="0" quotePrefix="0" xfId="0"/>
    <xf numFmtId="10" fontId="0" fillId="4" borderId="1" pivotButton="0" quotePrefix="0" xfId="0"/>
    <xf numFmtId="4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20" customWidth="1" min="5" max="5"/>
    <col width="22" customWidth="1" min="6" max="6"/>
    <col width="16" customWidth="1" min="7" max="7"/>
    <col width="16" customWidth="1" min="8" max="8"/>
    <col width="14" customWidth="1" min="9" max="9"/>
    <col width="18" customWidth="1" min="10" max="10"/>
    <col width="12" customWidth="1" min="11" max="11"/>
    <col width="12" customWidth="1" min="12" max="12"/>
    <col width="12" customWidth="1" min="13" max="13"/>
    <col width="18" customWidth="1" min="14" max="14"/>
    <col width="22" customWidth="1" min="15" max="15"/>
    <col width="24" customWidth="1" min="16" max="16"/>
    <col width="12" customWidth="1" min="17" max="17"/>
    <col width="12" customWidth="1" min="18" max="18"/>
    <col width="18" customWidth="1" min="19" max="19"/>
    <col width="22" customWidth="1" min="20" max="20"/>
    <col width="24" customWidth="1" min="21" max="21"/>
  </cols>
  <sheetData>
    <row r="1">
      <c r="A1" s="1" t="inlineStr">
        <is>
          <t>卫浴陶瓷报价表 - 第一版改造</t>
        </is>
      </c>
    </row>
    <row r="2">
      <c r="A2" s="2" t="inlineStr">
        <is>
          <t>销售只录入真实询价结果；表格按价格口径、供应链路径、成本处理方式自动判断BOM、物流、客户展示和风险。</t>
        </is>
      </c>
    </row>
    <row r="3"/>
    <row r="4">
      <c r="A4" s="3" t="inlineStr">
        <is>
          <t>客户名称</t>
        </is>
      </c>
      <c r="B4" s="4" t="inlineStr"/>
      <c r="C4" s="3" t="inlineStr">
        <is>
          <t>项目名称</t>
        </is>
      </c>
      <c r="D4" s="4" t="inlineStr"/>
      <c r="E4" s="3" t="inlineStr">
        <is>
          <t>报价单号</t>
        </is>
      </c>
      <c r="F4" s="4" t="inlineStr">
        <is>
          <t>QT-20260529-001</t>
        </is>
      </c>
      <c r="G4" s="3" t="inlineStr">
        <is>
          <t>报价日期</t>
        </is>
      </c>
      <c r="H4" s="5">
        <f>TODAY()</f>
        <v/>
      </c>
      <c r="I4" s="3" t="inlineStr">
        <is>
          <t>客户报价币种</t>
        </is>
      </c>
      <c r="J4" s="4" t="inlineStr">
        <is>
          <t>USD</t>
        </is>
      </c>
      <c r="K4" s="6" t="inlineStr">
        <is>
          <t>产品图片 1
粘贴图片到此处</t>
        </is>
      </c>
      <c r="L4" s="7" t="n"/>
      <c r="M4" s="7" t="n"/>
      <c r="N4" s="6" t="inlineStr">
        <is>
          <t>产品图片 2
粘贴图片到此处</t>
        </is>
      </c>
      <c r="O4" s="7" t="n"/>
      <c r="P4" s="7" t="n"/>
    </row>
    <row r="5">
      <c r="A5" s="3" t="inlineStr">
        <is>
          <t>型号编号</t>
        </is>
      </c>
      <c r="B5" s="4" t="inlineStr">
        <is>
          <t>GD1A603-EL-S</t>
        </is>
      </c>
      <c r="C5" s="3" t="inlineStr">
        <is>
          <t>订单数量</t>
        </is>
      </c>
      <c r="D5" s="4" t="n">
        <v>600</v>
      </c>
      <c r="E5" s="3" t="inlineStr">
        <is>
          <t>报价汇率</t>
        </is>
      </c>
      <c r="F5" s="4" t="n">
        <v>6.6</v>
      </c>
      <c r="G5" s="3" t="inlineStr">
        <is>
          <t>目标成本加价率</t>
        </is>
      </c>
      <c r="H5" s="8" t="n">
        <v>0.3</v>
      </c>
      <c r="I5" s="3" t="inlineStr">
        <is>
          <t>底线成本加价率</t>
        </is>
      </c>
      <c r="J5" s="8" t="n">
        <v>0</v>
      </c>
      <c r="K5" s="7" t="n"/>
      <c r="L5" s="7" t="n"/>
      <c r="M5" s="7" t="n"/>
      <c r="N5" s="7" t="n"/>
      <c r="O5" s="7" t="n"/>
      <c r="P5" s="7" t="n"/>
    </row>
    <row r="6">
      <c r="A6" s="3" t="inlineStr">
        <is>
          <t>客户报价条款</t>
        </is>
      </c>
      <c r="B6" s="4" t="inlineStr">
        <is>
          <t>FOB尼日利亚港</t>
        </is>
      </c>
      <c r="C6" s="3" t="inlineStr">
        <is>
          <t>目的港</t>
        </is>
      </c>
      <c r="D6" s="4" t="inlineStr">
        <is>
          <t>Lagos-Apapa</t>
        </is>
      </c>
      <c r="E6" s="3" t="inlineStr">
        <is>
          <t>报价显示方式</t>
        </is>
      </c>
      <c r="F6" s="4" t="inlineStr">
        <is>
          <t>套装总价</t>
        </is>
      </c>
      <c r="G6" s="3" t="inlineStr">
        <is>
          <t>外购件成本加价率</t>
        </is>
      </c>
      <c r="H6" s="8" t="n">
        <v>0.03</v>
      </c>
      <c r="I6" s="3" t="inlineStr">
        <is>
          <t>是否DDP/项目例外</t>
        </is>
      </c>
      <c r="J6" s="4" t="inlineStr">
        <is>
          <t>否</t>
        </is>
      </c>
      <c r="K6" s="7" t="n"/>
      <c r="L6" s="7" t="n"/>
      <c r="M6" s="7" t="n"/>
      <c r="N6" s="7" t="n"/>
      <c r="O6" s="7" t="n"/>
      <c r="P6" s="7" t="n"/>
    </row>
    <row r="7">
      <c r="A7" s="3" t="inlineStr">
        <is>
          <t>保险费率</t>
        </is>
      </c>
      <c r="B7" s="8" t="n">
        <v>0</v>
      </c>
      <c r="C7" s="3" t="inlineStr">
        <is>
          <t>保险金额RMB</t>
        </is>
      </c>
      <c r="D7" s="9" t="n">
        <v>0</v>
      </c>
      <c r="E7" s="3" t="inlineStr">
        <is>
          <t>手动项目报价审批人</t>
        </is>
      </c>
      <c r="F7" s="4" t="inlineStr"/>
      <c r="G7" s="3" t="inlineStr">
        <is>
          <t>手动项目报价审批日期</t>
        </is>
      </c>
      <c r="H7" s="4" t="inlineStr"/>
      <c r="I7" s="3" t="inlineStr">
        <is>
          <t>手动项目报价有效期</t>
        </is>
      </c>
      <c r="J7" s="4" t="inlineStr"/>
      <c r="K7" s="7" t="n"/>
      <c r="L7" s="7" t="n"/>
      <c r="M7" s="7" t="n"/>
      <c r="N7" s="7" t="n"/>
      <c r="O7" s="7" t="n"/>
      <c r="P7" s="7" t="n"/>
    </row>
    <row r="8">
      <c r="A8" s="3" t="inlineStr">
        <is>
          <t>尼日利亚默认装柜量</t>
        </is>
      </c>
      <c r="B8" s="4" t="n">
        <v>600</v>
      </c>
      <c r="C8" s="3" t="inlineStr">
        <is>
          <t>中国配件默认装柜量</t>
        </is>
      </c>
      <c r="D8" s="4" t="n">
        <v>600</v>
      </c>
      <c r="E8" s="3" t="inlineStr">
        <is>
          <t>手动项目报价原因</t>
        </is>
      </c>
      <c r="F8" s="4" t="inlineStr"/>
      <c r="G8" s="3" t="inlineStr">
        <is>
          <t>客户备注</t>
        </is>
      </c>
      <c r="H8" s="4" t="inlineStr"/>
      <c r="I8" s="3" t="inlineStr">
        <is>
          <t>内部备注</t>
        </is>
      </c>
      <c r="J8" s="4" t="inlineStr"/>
      <c r="K8" s="7" t="n"/>
      <c r="L8" s="7" t="n"/>
      <c r="M8" s="7" t="n"/>
      <c r="N8" s="7" t="n"/>
      <c r="O8" s="7" t="n"/>
      <c r="P8" s="7" t="n"/>
    </row>
    <row r="9">
      <c r="A9" s="10" t="inlineStr">
        <is>
          <t>总成本RMB/件</t>
        </is>
      </c>
      <c r="B9" s="11">
        <f>InternalCost!B4+InternalCost!D4+InternalCost!B6+InternalCost!F4</f>
        <v/>
      </c>
      <c r="C9" s="10" t="inlineStr">
        <is>
          <t>目标利润RMB/件</t>
        </is>
      </c>
      <c r="D9" s="11">
        <f>InternalCost!F7</f>
        <v/>
      </c>
      <c r="E9" s="10" t="inlineStr">
        <is>
          <t>综合成本加价率</t>
        </is>
      </c>
      <c r="F9" s="12">
        <f>InternalCost!B10</f>
        <v/>
      </c>
      <c r="G9" s="10" t="inlineStr">
        <is>
          <t>销售价USD/件</t>
        </is>
      </c>
      <c r="H9" s="11">
        <f>InternalCost!F9</f>
        <v/>
      </c>
      <c r="I9" s="10" t="inlineStr">
        <is>
          <t>整单销售额USD</t>
        </is>
      </c>
      <c r="J9" s="11">
        <f>H9*$D$5</f>
        <v/>
      </c>
    </row>
    <row r="10">
      <c r="A10" s="13" t="inlineStr">
        <is>
          <t>成本录入区</t>
        </is>
      </c>
    </row>
    <row r="11"/>
    <row r="12">
      <c r="A12" s="14" t="inlineStr">
        <is>
          <t>类别</t>
        </is>
      </c>
      <c r="B12" s="14" t="inlineStr">
        <is>
          <t>项目</t>
        </is>
      </c>
      <c r="C12" s="14" t="inlineStr">
        <is>
          <t>人民币金额</t>
        </is>
      </c>
      <c r="D12" s="14" t="inlineStr">
        <is>
          <t>报价来源</t>
        </is>
      </c>
      <c r="E12" s="14" t="inlineStr">
        <is>
          <t>价格口径</t>
        </is>
      </c>
      <c r="F12" s="14" t="inlineStr">
        <is>
          <t>供应链路径</t>
        </is>
      </c>
      <c r="G12" s="14" t="inlineStr">
        <is>
          <t>成本处理方式</t>
        </is>
      </c>
      <c r="H12" s="14" t="inlineStr">
        <is>
          <t>是否参与整体加价复核</t>
        </is>
      </c>
      <c r="I12" s="14" t="inlineStr">
        <is>
          <t>生效成本RMB</t>
        </is>
      </c>
      <c r="J12" s="14" t="inlineStr">
        <is>
          <t>手动原因</t>
        </is>
      </c>
      <c r="K12" s="14" t="inlineStr">
        <is>
          <t>审批人</t>
        </is>
      </c>
      <c r="L12" s="14" t="inlineStr">
        <is>
          <t>审批日期</t>
        </is>
      </c>
      <c r="M12" s="14" t="inlineStr">
        <is>
          <t>有效期</t>
        </is>
      </c>
      <c r="N12" s="14" t="inlineStr">
        <is>
          <t>备注</t>
        </is>
      </c>
      <c r="O12" s="14" t="inlineStr">
        <is>
          <t>物流取数方式</t>
        </is>
      </c>
      <c r="P12" s="14" t="inlineStr">
        <is>
          <t>物流公式测算RMB</t>
        </is>
      </c>
    </row>
    <row r="13">
      <c r="A13" s="15" t="inlineStr">
        <is>
          <t>VC cost陶瓷成本</t>
        </is>
      </c>
      <c r="B13" s="15" t="inlineStr">
        <is>
          <t>Tank/cistern lid水箱盖</t>
        </is>
      </c>
      <c r="C13" s="16" t="n"/>
      <c r="D13" s="17" t="inlineStr">
        <is>
          <t>尼日利亚工厂</t>
        </is>
      </c>
      <c r="E13" s="17" t="inlineStr">
        <is>
          <t>尼厂出厂成本</t>
        </is>
      </c>
      <c r="F13" s="17" t="inlineStr">
        <is>
          <t>尼日利亚工厂配套后出货</t>
        </is>
      </c>
      <c r="G13" s="17" t="inlineStr">
        <is>
          <t>计入套装BOM</t>
        </is>
      </c>
      <c r="H13" s="17" t="inlineStr">
        <is>
          <t>是</t>
        </is>
      </c>
      <c r="I13" s="18">
        <f>N($C13)</f>
        <v/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/>
    </row>
    <row r="14">
      <c r="A14" s="15" t="inlineStr">
        <is>
          <t>VC cost陶瓷成本</t>
        </is>
      </c>
      <c r="B14" s="15" t="inlineStr">
        <is>
          <t>Tank/cistern 水箱</t>
        </is>
      </c>
      <c r="C14" s="16" t="n"/>
      <c r="D14" s="17" t="inlineStr">
        <is>
          <t>尼日利亚工厂</t>
        </is>
      </c>
      <c r="E14" s="17" t="inlineStr">
        <is>
          <t>尼厂出厂成本</t>
        </is>
      </c>
      <c r="F14" s="17" t="inlineStr">
        <is>
          <t>尼日利亚工厂配套后出货</t>
        </is>
      </c>
      <c r="G14" s="17" t="inlineStr">
        <is>
          <t>计入套装BOM</t>
        </is>
      </c>
      <c r="H14" s="17" t="inlineStr">
        <is>
          <t>是</t>
        </is>
      </c>
      <c r="I14" s="18">
        <f>N($C14)</f>
        <v/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/>
    </row>
    <row r="15">
      <c r="A15" s="15" t="inlineStr">
        <is>
          <t>VC cost陶瓷成本</t>
        </is>
      </c>
      <c r="B15" s="15" t="inlineStr">
        <is>
          <t>toilet bowl/pan马桶</t>
        </is>
      </c>
      <c r="C15" s="16" t="n">
        <v>47.8247810413976</v>
      </c>
      <c r="D15" s="17" t="inlineStr">
        <is>
          <t>尼日利亚工厂</t>
        </is>
      </c>
      <c r="E15" s="17" t="inlineStr">
        <is>
          <t>尼厂出厂成本</t>
        </is>
      </c>
      <c r="F15" s="17" t="inlineStr">
        <is>
          <t>尼日利亚工厂配套后出货</t>
        </is>
      </c>
      <c r="G15" s="17" t="inlineStr">
        <is>
          <t>计入套装BOM</t>
        </is>
      </c>
      <c r="H15" s="17" t="inlineStr">
        <is>
          <t>是</t>
        </is>
      </c>
      <c r="I15" s="18">
        <f>N($C15)</f>
        <v/>
      </c>
      <c r="J15" s="17" t="inlineStr"/>
      <c r="K15" s="17" t="inlineStr"/>
      <c r="L15" s="17" t="inlineStr"/>
      <c r="M15" s="17" t="inlineStr"/>
      <c r="N15" s="17" t="inlineStr">
        <is>
          <t>旧表GD1A603-EL-S样例</t>
        </is>
      </c>
      <c r="O15" s="17" t="inlineStr"/>
      <c r="P15" s="18" t="inlineStr"/>
    </row>
    <row r="16">
      <c r="A16" s="15" t="inlineStr">
        <is>
          <t>VC cost陶瓷成本</t>
        </is>
      </c>
      <c r="B16" s="15" t="inlineStr">
        <is>
          <t>basin/sink盆</t>
        </is>
      </c>
      <c r="C16" s="16" t="n"/>
      <c r="D16" s="17" t="inlineStr">
        <is>
          <t>尼日利亚工厂</t>
        </is>
      </c>
      <c r="E16" s="17" t="inlineStr">
        <is>
          <t>尼厂出厂成本</t>
        </is>
      </c>
      <c r="F16" s="17" t="inlineStr">
        <is>
          <t>尼日利亚工厂配套后出货</t>
        </is>
      </c>
      <c r="G16" s="17" t="inlineStr">
        <is>
          <t>仅参考不计入</t>
        </is>
      </c>
      <c r="H16" s="17" t="inlineStr">
        <is>
          <t>否</t>
        </is>
      </c>
      <c r="I16" s="18">
        <f>N($C16)</f>
        <v/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/>
    </row>
    <row r="17">
      <c r="A17" s="15" t="inlineStr">
        <is>
          <t>VC cost陶瓷成本</t>
        </is>
      </c>
      <c r="B17" s="15" t="inlineStr">
        <is>
          <t>Pedestal</t>
        </is>
      </c>
      <c r="C17" s="16" t="n"/>
      <c r="D17" s="17" t="inlineStr">
        <is>
          <t>尼日利亚工厂</t>
        </is>
      </c>
      <c r="E17" s="17" t="inlineStr">
        <is>
          <t>尼厂出厂成本</t>
        </is>
      </c>
      <c r="F17" s="17" t="inlineStr">
        <is>
          <t>尼日利亚工厂配套后出货</t>
        </is>
      </c>
      <c r="G17" s="17" t="inlineStr">
        <is>
          <t>仅参考不计入</t>
        </is>
      </c>
      <c r="H17" s="17" t="inlineStr">
        <is>
          <t>否</t>
        </is>
      </c>
      <c r="I17" s="18">
        <f>N($C17)</f>
        <v/>
      </c>
      <c r="J17" s="17" t="inlineStr"/>
      <c r="K17" s="17" t="inlineStr"/>
      <c r="L17" s="17" t="inlineStr"/>
      <c r="M17" s="17" t="inlineStr"/>
      <c r="N17" s="17" t="inlineStr"/>
      <c r="O17" s="17" t="inlineStr"/>
      <c r="P17" s="18" t="inlineStr"/>
    </row>
    <row r="18">
      <c r="A18" s="15" t="inlineStr">
        <is>
          <t>Accessories 配件</t>
        </is>
      </c>
      <c r="B18" s="15" t="inlineStr">
        <is>
          <t>Flush valve 水件</t>
        </is>
      </c>
      <c r="C18" s="16" t="n"/>
      <c r="D18" s="17" t="inlineStr">
        <is>
          <t>中国供应商</t>
        </is>
      </c>
      <c r="E18" s="17" t="inlineStr">
        <is>
          <t>送中国指定仓/进仓价</t>
        </is>
      </c>
      <c r="F18" s="17" t="inlineStr">
        <is>
          <t>中国配件发尼厂后配套</t>
        </is>
      </c>
      <c r="G18" s="17" t="inlineStr">
        <is>
          <t>计入套装BOM</t>
        </is>
      </c>
      <c r="H18" s="17" t="inlineStr">
        <is>
          <t>是</t>
        </is>
      </c>
      <c r="I18" s="18">
        <f>N($C18)</f>
        <v/>
      </c>
      <c r="J18" s="17" t="inlineStr"/>
      <c r="K18" s="17" t="inlineStr"/>
      <c r="L18" s="17" t="inlineStr"/>
      <c r="M18" s="17" t="inlineStr"/>
      <c r="N18" s="17" t="inlineStr"/>
      <c r="O18" s="17" t="inlineStr"/>
      <c r="P18" s="18" t="inlineStr"/>
    </row>
    <row r="19">
      <c r="A19" s="15" t="inlineStr">
        <is>
          <t>Accessories 配件</t>
        </is>
      </c>
      <c r="B19" s="15" t="inlineStr">
        <is>
          <t>Toilet seat盖板</t>
        </is>
      </c>
      <c r="C19" s="16" t="n"/>
      <c r="D19" s="17" t="inlineStr">
        <is>
          <t>中国供应商</t>
        </is>
      </c>
      <c r="E19" s="17" t="inlineStr">
        <is>
          <t>送中国指定仓/进仓价</t>
        </is>
      </c>
      <c r="F19" s="17" t="inlineStr">
        <is>
          <t>中国配件发尼厂后配套</t>
        </is>
      </c>
      <c r="G19" s="17" t="inlineStr">
        <is>
          <t>计入套装BOM</t>
        </is>
      </c>
      <c r="H19" s="17" t="inlineStr">
        <is>
          <t>是</t>
        </is>
      </c>
      <c r="I19" s="18">
        <f>N($C19)</f>
        <v/>
      </c>
      <c r="J19" s="17" t="inlineStr"/>
      <c r="K19" s="17" t="inlineStr"/>
      <c r="L19" s="17" t="inlineStr"/>
      <c r="M19" s="17" t="inlineStr"/>
      <c r="N19" s="17" t="inlineStr"/>
      <c r="O19" s="17" t="inlineStr"/>
      <c r="P19" s="18" t="inlineStr"/>
    </row>
    <row r="20">
      <c r="A20" s="15" t="inlineStr">
        <is>
          <t>Accessories 配件</t>
        </is>
      </c>
      <c r="B20" s="15" t="inlineStr">
        <is>
          <t>Overflow 溢水环</t>
        </is>
      </c>
      <c r="C20" s="16" t="n"/>
      <c r="D20" s="17" t="inlineStr">
        <is>
          <t>中国供应商</t>
        </is>
      </c>
      <c r="E20" s="17" t="inlineStr">
        <is>
          <t>送中国指定仓/进仓价</t>
        </is>
      </c>
      <c r="F20" s="17" t="inlineStr">
        <is>
          <t>中国配件直发客户</t>
        </is>
      </c>
      <c r="G20" s="17" t="inlineStr">
        <is>
          <t>客户单独报价</t>
        </is>
      </c>
      <c r="H20" s="17" t="inlineStr">
        <is>
          <t>是</t>
        </is>
      </c>
      <c r="I20" s="18">
        <f>N($C20)</f>
        <v/>
      </c>
      <c r="J20" s="17" t="inlineStr"/>
      <c r="K20" s="17" t="inlineStr"/>
      <c r="L20" s="17" t="inlineStr"/>
      <c r="M20" s="17" t="inlineStr"/>
      <c r="N20" s="17" t="inlineStr"/>
      <c r="O20" s="17" t="inlineStr"/>
      <c r="P20" s="18" t="inlineStr"/>
    </row>
    <row r="21">
      <c r="A21" s="15" t="inlineStr">
        <is>
          <t>Accessories 配件</t>
        </is>
      </c>
      <c r="B21" s="15" t="inlineStr">
        <is>
          <t>Push button/lever按键、扳手</t>
        </is>
      </c>
      <c r="C21" s="16" t="n"/>
      <c r="D21" s="17" t="inlineStr">
        <is>
          <t>中国供应商</t>
        </is>
      </c>
      <c r="E21" s="17" t="inlineStr">
        <is>
          <t>送中国指定仓/进仓价</t>
        </is>
      </c>
      <c r="F21" s="17" t="inlineStr">
        <is>
          <t>中国配件发尼厂后配套</t>
        </is>
      </c>
      <c r="G21" s="17" t="inlineStr">
        <is>
          <t>计入套装BOM</t>
        </is>
      </c>
      <c r="H21" s="17" t="inlineStr">
        <is>
          <t>是</t>
        </is>
      </c>
      <c r="I21" s="18">
        <f>N($C21)</f>
        <v/>
      </c>
      <c r="J21" s="17" t="inlineStr"/>
      <c r="K21" s="17" t="inlineStr"/>
      <c r="L21" s="17" t="inlineStr"/>
      <c r="M21" s="17" t="inlineStr"/>
      <c r="N21" s="17" t="inlineStr"/>
      <c r="O21" s="17" t="inlineStr"/>
      <c r="P21" s="18" t="inlineStr"/>
    </row>
    <row r="22">
      <c r="A22" s="15" t="inlineStr">
        <is>
          <t>Accessories 配件</t>
        </is>
      </c>
      <c r="B22" s="15" t="inlineStr">
        <is>
          <t>Tank fitting kit 水箱安装配件</t>
        </is>
      </c>
      <c r="C22" s="16" t="n"/>
      <c r="D22" s="17" t="inlineStr">
        <is>
          <t>中国供应商</t>
        </is>
      </c>
      <c r="E22" s="17" t="inlineStr">
        <is>
          <t>送中国指定仓/进仓价</t>
        </is>
      </c>
      <c r="F22" s="17" t="inlineStr">
        <is>
          <t>中国配件发尼厂后配套</t>
        </is>
      </c>
      <c r="G22" s="17" t="inlineStr">
        <is>
          <t>计入套装BOM</t>
        </is>
      </c>
      <c r="H22" s="17" t="inlineStr">
        <is>
          <t>是</t>
        </is>
      </c>
      <c r="I22" s="18">
        <f>N($C22)</f>
        <v/>
      </c>
      <c r="J22" s="17" t="inlineStr"/>
      <c r="K22" s="17" t="inlineStr"/>
      <c r="L22" s="17" t="inlineStr"/>
      <c r="M22" s="17" t="inlineStr"/>
      <c r="N22" s="17" t="inlineStr"/>
      <c r="O22" s="17" t="inlineStr"/>
      <c r="P22" s="18" t="inlineStr"/>
    </row>
    <row r="23">
      <c r="A23" s="15" t="inlineStr">
        <is>
          <t>Accessories 配件</t>
        </is>
      </c>
      <c r="B23" s="15" t="inlineStr">
        <is>
          <t>Toilet fitting kit安装配件</t>
        </is>
      </c>
      <c r="C23" s="16" t="n"/>
      <c r="D23" s="17" t="inlineStr">
        <is>
          <t>中国供应商</t>
        </is>
      </c>
      <c r="E23" s="17" t="inlineStr">
        <is>
          <t>送中国指定仓/进仓价</t>
        </is>
      </c>
      <c r="F23" s="17" t="inlineStr">
        <is>
          <t>中国配件发尼厂后配套</t>
        </is>
      </c>
      <c r="G23" s="17" t="inlineStr">
        <is>
          <t>计入套装BOM</t>
        </is>
      </c>
      <c r="H23" s="17" t="inlineStr">
        <is>
          <t>是</t>
        </is>
      </c>
      <c r="I23" s="18">
        <f>N($C23)</f>
        <v/>
      </c>
      <c r="J23" s="17" t="inlineStr"/>
      <c r="K23" s="17" t="inlineStr"/>
      <c r="L23" s="17" t="inlineStr"/>
      <c r="M23" s="17" t="inlineStr"/>
      <c r="N23" s="17" t="inlineStr"/>
      <c r="O23" s="17" t="inlineStr"/>
      <c r="P23" s="18" t="inlineStr"/>
    </row>
    <row r="24">
      <c r="A24" s="15" t="inlineStr">
        <is>
          <t>Accessories 配件</t>
        </is>
      </c>
      <c r="B24" s="15" t="inlineStr">
        <is>
          <t>others 其他配件</t>
        </is>
      </c>
      <c r="C24" s="16" t="n"/>
      <c r="D24" s="17" t="inlineStr">
        <is>
          <t>中国供应商</t>
        </is>
      </c>
      <c r="E24" s="17" t="inlineStr">
        <is>
          <t>送中国指定仓/进仓价</t>
        </is>
      </c>
      <c r="F24" s="17" t="inlineStr">
        <is>
          <t>中国配件直发客户</t>
        </is>
      </c>
      <c r="G24" s="17" t="inlineStr">
        <is>
          <t>客户单独报价</t>
        </is>
      </c>
      <c r="H24" s="17" t="inlineStr">
        <is>
          <t>是</t>
        </is>
      </c>
      <c r="I24" s="18">
        <f>N($C24)</f>
        <v/>
      </c>
      <c r="J24" s="17" t="inlineStr"/>
      <c r="K24" s="17" t="inlineStr"/>
      <c r="L24" s="17" t="inlineStr"/>
      <c r="M24" s="17" t="inlineStr"/>
      <c r="N24" s="17" t="inlineStr"/>
      <c r="O24" s="17" t="inlineStr"/>
      <c r="P24" s="18" t="inlineStr"/>
    </row>
    <row r="25">
      <c r="A25" s="15" t="inlineStr">
        <is>
          <t>Package 包装</t>
        </is>
      </c>
      <c r="B25" s="15" t="inlineStr">
        <is>
          <t>Installation Manual说明书</t>
        </is>
      </c>
      <c r="C25" s="16" t="n">
        <v>2</v>
      </c>
      <c r="D25" s="17" t="inlineStr">
        <is>
          <t>中国供应商</t>
        </is>
      </c>
      <c r="E25" s="17" t="inlineStr">
        <is>
          <t>送中国指定仓/进仓价</t>
        </is>
      </c>
      <c r="F25" s="17" t="inlineStr">
        <is>
          <t>中国配件发尼厂后配套</t>
        </is>
      </c>
      <c r="G25" s="17" t="inlineStr">
        <is>
          <t>计入套装BOM</t>
        </is>
      </c>
      <c r="H25" s="17" t="inlineStr">
        <is>
          <t>是</t>
        </is>
      </c>
      <c r="I25" s="18">
        <f>N($C25)</f>
        <v/>
      </c>
      <c r="J25" s="17" t="inlineStr"/>
      <c r="K25" s="17" t="inlineStr"/>
      <c r="L25" s="17" t="inlineStr"/>
      <c r="M25" s="17" t="inlineStr"/>
      <c r="N25" s="17" t="inlineStr">
        <is>
          <t>旧表样例</t>
        </is>
      </c>
      <c r="O25" s="17" t="inlineStr"/>
      <c r="P25" s="18" t="inlineStr"/>
    </row>
    <row r="26">
      <c r="A26" s="15" t="inlineStr">
        <is>
          <t>Package 包装</t>
        </is>
      </c>
      <c r="B26" s="15" t="inlineStr">
        <is>
          <t>Inner pack内包装</t>
        </is>
      </c>
      <c r="C26" s="16" t="n">
        <v>6</v>
      </c>
      <c r="D26" s="17" t="inlineStr">
        <is>
          <t>尼日利亚本地供应商</t>
        </is>
      </c>
      <c r="E26" s="17" t="inlineStr">
        <is>
          <t>尼厂装柜成本</t>
        </is>
      </c>
      <c r="F26" s="17" t="inlineStr">
        <is>
          <t>尼日利亚本地采购配套</t>
        </is>
      </c>
      <c r="G26" s="17" t="inlineStr">
        <is>
          <t>计入套装BOM</t>
        </is>
      </c>
      <c r="H26" s="17" t="inlineStr">
        <is>
          <t>是</t>
        </is>
      </c>
      <c r="I26" s="18">
        <f>N($C26)</f>
        <v/>
      </c>
      <c r="J26" s="17" t="inlineStr"/>
      <c r="K26" s="17" t="inlineStr"/>
      <c r="L26" s="17" t="inlineStr"/>
      <c r="M26" s="17" t="inlineStr"/>
      <c r="N26" s="17" t="inlineStr">
        <is>
          <t>旧表样例</t>
        </is>
      </c>
      <c r="O26" s="17" t="inlineStr"/>
      <c r="P26" s="18" t="inlineStr"/>
    </row>
    <row r="27">
      <c r="A27" s="15" t="inlineStr">
        <is>
          <t>Package 包装</t>
        </is>
      </c>
      <c r="B27" s="15" t="inlineStr">
        <is>
          <t>outer carton外箱</t>
        </is>
      </c>
      <c r="C27" s="16" t="n">
        <v>12.8</v>
      </c>
      <c r="D27" s="17" t="inlineStr">
        <is>
          <t>尼日利亚本地供应商</t>
        </is>
      </c>
      <c r="E27" s="17" t="inlineStr">
        <is>
          <t>尼厂装柜成本</t>
        </is>
      </c>
      <c r="F27" s="17" t="inlineStr">
        <is>
          <t>尼日利亚本地采购配套</t>
        </is>
      </c>
      <c r="G27" s="17" t="inlineStr">
        <is>
          <t>计入套装BOM</t>
        </is>
      </c>
      <c r="H27" s="17" t="inlineStr">
        <is>
          <t>是</t>
        </is>
      </c>
      <c r="I27" s="18">
        <f>N($C27)</f>
        <v/>
      </c>
      <c r="J27" s="17" t="inlineStr"/>
      <c r="K27" s="17" t="inlineStr"/>
      <c r="L27" s="17" t="inlineStr"/>
      <c r="M27" s="17" t="inlineStr"/>
      <c r="N27" s="17" t="inlineStr">
        <is>
          <t>旧表样例</t>
        </is>
      </c>
      <c r="O27" s="17" t="inlineStr"/>
      <c r="P27" s="18" t="inlineStr"/>
    </row>
    <row r="28">
      <c r="A28" s="15" t="inlineStr">
        <is>
          <t>Package 包装</t>
        </is>
      </c>
      <c r="B28" s="15" t="inlineStr">
        <is>
          <t>Pallet托盘</t>
        </is>
      </c>
      <c r="C28" s="16" t="n"/>
      <c r="D28" s="17" t="inlineStr">
        <is>
          <t>尼日利亚本地供应商</t>
        </is>
      </c>
      <c r="E28" s="17" t="inlineStr">
        <is>
          <t>尼厂装柜成本</t>
        </is>
      </c>
      <c r="F28" s="17" t="inlineStr">
        <is>
          <t>尼日利亚本地采购配套</t>
        </is>
      </c>
      <c r="G28" s="17" t="inlineStr">
        <is>
          <t>仅参考不计入</t>
        </is>
      </c>
      <c r="H28" s="17" t="inlineStr">
        <is>
          <t>否</t>
        </is>
      </c>
      <c r="I28" s="18">
        <f>N($C28)</f>
        <v/>
      </c>
      <c r="J28" s="17" t="inlineStr"/>
      <c r="K28" s="17" t="inlineStr"/>
      <c r="L28" s="17" t="inlineStr"/>
      <c r="M28" s="17" t="inlineStr"/>
      <c r="N28" s="17" t="inlineStr"/>
      <c r="O28" s="17" t="inlineStr"/>
      <c r="P28" s="18" t="inlineStr"/>
    </row>
    <row r="29">
      <c r="A29" s="15" t="inlineStr">
        <is>
          <t>Labor Cost 人工成本</t>
        </is>
      </c>
      <c r="B29" s="15" t="inlineStr">
        <is>
          <t>Production labor cost生产人工成本</t>
        </is>
      </c>
      <c r="C29" s="16" t="n">
        <v>6.24659047417853</v>
      </c>
      <c r="D29" s="17" t="inlineStr">
        <is>
          <t>尼日利亚工厂</t>
        </is>
      </c>
      <c r="E29" s="17" t="inlineStr">
        <is>
          <t>尼厂出厂成本</t>
        </is>
      </c>
      <c r="F29" s="17" t="inlineStr">
        <is>
          <t>尼日利亚工厂配套后出货</t>
        </is>
      </c>
      <c r="G29" s="17" t="inlineStr">
        <is>
          <t>计入套装BOM</t>
        </is>
      </c>
      <c r="H29" s="17" t="inlineStr">
        <is>
          <t>是</t>
        </is>
      </c>
      <c r="I29" s="18">
        <f>N($C29)</f>
        <v/>
      </c>
      <c r="J29" s="17" t="inlineStr"/>
      <c r="K29" s="17" t="inlineStr"/>
      <c r="L29" s="17" t="inlineStr"/>
      <c r="M29" s="17" t="inlineStr"/>
      <c r="N29" s="17" t="inlineStr">
        <is>
          <t>旧表样例</t>
        </is>
      </c>
      <c r="O29" s="17" t="inlineStr"/>
      <c r="P29" s="18" t="inlineStr"/>
    </row>
    <row r="30">
      <c r="A30" s="15" t="inlineStr">
        <is>
          <t>Labor Cost 人工成本</t>
        </is>
      </c>
      <c r="B30" s="15" t="inlineStr">
        <is>
          <t>Packing labor cost 包装人工成本</t>
        </is>
      </c>
      <c r="C30" s="16" t="n">
        <v>0.97602987139373</v>
      </c>
      <c r="D30" s="17" t="inlineStr">
        <is>
          <t>尼日利亚工厂</t>
        </is>
      </c>
      <c r="E30" s="17" t="inlineStr">
        <is>
          <t>尼厂装柜成本</t>
        </is>
      </c>
      <c r="F30" s="17" t="inlineStr">
        <is>
          <t>尼日利亚工厂配套后出货</t>
        </is>
      </c>
      <c r="G30" s="17" t="inlineStr">
        <is>
          <t>计入套装BOM</t>
        </is>
      </c>
      <c r="H30" s="17" t="inlineStr">
        <is>
          <t>是</t>
        </is>
      </c>
      <c r="I30" s="18">
        <f>N($C30)</f>
        <v/>
      </c>
      <c r="J30" s="17" t="inlineStr"/>
      <c r="K30" s="17" t="inlineStr"/>
      <c r="L30" s="17" t="inlineStr"/>
      <c r="M30" s="17" t="inlineStr"/>
      <c r="N30" s="17" t="inlineStr">
        <is>
          <t>旧表样例</t>
        </is>
      </c>
      <c r="O30" s="17" t="inlineStr"/>
      <c r="P30" s="18" t="inlineStr"/>
    </row>
    <row r="31">
      <c r="A31" s="15" t="inlineStr">
        <is>
          <t>Spoilage 损耗</t>
        </is>
      </c>
      <c r="B31" s="15" t="inlineStr">
        <is>
          <t>Lost for low yield 合格率损耗</t>
        </is>
      </c>
      <c r="C31" s="16" t="n">
        <v>9.43511900038598</v>
      </c>
      <c r="D31" s="17" t="inlineStr">
        <is>
          <t>尼日利亚工厂</t>
        </is>
      </c>
      <c r="E31" s="17" t="inlineStr">
        <is>
          <t>手动确认成本</t>
        </is>
      </c>
      <c r="F31" s="17" t="inlineStr">
        <is>
          <t>尼日利亚工厂配套后出货</t>
        </is>
      </c>
      <c r="G31" s="17" t="inlineStr">
        <is>
          <t>计入套装BOM</t>
        </is>
      </c>
      <c r="H31" s="17" t="inlineStr">
        <is>
          <t>是</t>
        </is>
      </c>
      <c r="I31" s="18">
        <f>N($C31)</f>
        <v/>
      </c>
      <c r="J31" s="17" t="inlineStr"/>
      <c r="K31" s="17" t="inlineStr"/>
      <c r="L31" s="17" t="inlineStr"/>
      <c r="M31" s="17" t="inlineStr"/>
      <c r="N31" s="17" t="inlineStr">
        <is>
          <t>旧表样例</t>
        </is>
      </c>
      <c r="O31" s="17" t="inlineStr"/>
      <c r="P31" s="18" t="inlineStr"/>
    </row>
    <row r="32">
      <c r="A32" s="15" t="inlineStr">
        <is>
          <t>Indirect Cost 间接费用</t>
        </is>
      </c>
      <c r="B32" s="15" t="inlineStr">
        <is>
          <t>Tooling 模具分摊</t>
        </is>
      </c>
      <c r="C32" s="16" t="n">
        <v>2.55483100020165</v>
      </c>
      <c r="D32" s="17" t="inlineStr">
        <is>
          <t>手动确认</t>
        </is>
      </c>
      <c r="E32" s="17" t="inlineStr">
        <is>
          <t>手动确认成本</t>
        </is>
      </c>
      <c r="F32" s="17" t="inlineStr">
        <is>
          <t>尼日利亚工厂配套后出货</t>
        </is>
      </c>
      <c r="G32" s="17" t="inlineStr">
        <is>
          <t>计入套装BOM</t>
        </is>
      </c>
      <c r="H32" s="17" t="inlineStr">
        <is>
          <t>是</t>
        </is>
      </c>
      <c r="I32" s="18">
        <f>N($C32)</f>
        <v/>
      </c>
      <c r="J32" s="17" t="inlineStr"/>
      <c r="K32" s="17" t="inlineStr"/>
      <c r="L32" s="17" t="inlineStr"/>
      <c r="M32" s="17" t="inlineStr"/>
      <c r="N32" s="17" t="inlineStr">
        <is>
          <t>旧表样例</t>
        </is>
      </c>
      <c r="O32" s="17" t="inlineStr"/>
      <c r="P32" s="18" t="inlineStr"/>
    </row>
    <row r="33">
      <c r="A33" s="15" t="inlineStr">
        <is>
          <t>Indirect Cost 间接费用</t>
        </is>
      </c>
      <c r="B33" s="15" t="inlineStr">
        <is>
          <t>Management fee管理/财务/其他</t>
        </is>
      </c>
      <c r="C33" s="16" t="n">
        <v>7</v>
      </c>
      <c r="D33" s="17" t="inlineStr">
        <is>
          <t>尼日利亚工厂</t>
        </is>
      </c>
      <c r="E33" s="17" t="inlineStr">
        <is>
          <t>尼厂出厂成本</t>
        </is>
      </c>
      <c r="F33" s="17" t="inlineStr">
        <is>
          <t>尼日利亚工厂配套后出货</t>
        </is>
      </c>
      <c r="G33" s="17" t="inlineStr">
        <is>
          <t>计入套装BOM</t>
        </is>
      </c>
      <c r="H33" s="17" t="inlineStr">
        <is>
          <t>是</t>
        </is>
      </c>
      <c r="I33" s="18">
        <f>N($C33)</f>
        <v/>
      </c>
      <c r="J33" s="17" t="inlineStr"/>
      <c r="K33" s="17" t="inlineStr"/>
      <c r="L33" s="17" t="inlineStr"/>
      <c r="M33" s="17" t="inlineStr"/>
      <c r="N33" s="17" t="inlineStr">
        <is>
          <t>旧表样例</t>
        </is>
      </c>
      <c r="O33" s="17" t="inlineStr"/>
      <c r="P33" s="18" t="inlineStr"/>
    </row>
    <row r="34">
      <c r="A34" s="15" t="inlineStr">
        <is>
          <t>Logistics 物流</t>
        </is>
      </c>
      <c r="B34" s="15" t="inlineStr">
        <is>
          <t>物流成本</t>
        </is>
      </c>
      <c r="C34" s="16" t="n"/>
      <c r="D34" s="17" t="inlineStr">
        <is>
          <t>手动确认</t>
        </is>
      </c>
      <c r="E34" s="17" t="inlineStr">
        <is>
          <t>手动确认成本</t>
        </is>
      </c>
      <c r="F34" s="17" t="inlineStr">
        <is>
          <t>尼日利亚工厂配套后出货</t>
        </is>
      </c>
      <c r="G34" s="17" t="inlineStr">
        <is>
          <t>计入套装BOM</t>
        </is>
      </c>
      <c r="H34" s="17" t="inlineStr">
        <is>
          <t>否</t>
        </is>
      </c>
      <c r="I34" s="18">
        <f>IF($O34="公式测算",$P34,$C34)</f>
        <v/>
      </c>
      <c r="J34" s="17" t="inlineStr"/>
      <c r="K34" s="17" t="inlineStr"/>
      <c r="L34" s="17" t="inlineStr"/>
      <c r="M34" s="17" t="inlineStr"/>
      <c r="N34" s="17" t="inlineStr">
        <is>
          <t>选择公式测算时自动取计入BOM物流；选择手动填写时使用C列金额。物流不参与成本加价。</t>
        </is>
      </c>
      <c r="O34" s="17" t="inlineStr">
        <is>
          <t>公式测算</t>
        </is>
      </c>
      <c r="P34" s="18">
        <f>物流测算!C6</f>
        <v/>
      </c>
    </row>
    <row r="35"/>
    <row r="36"/>
    <row r="37">
      <c r="A37" s="13" t="inlineStr">
        <is>
          <t>产品与包装信息区</t>
        </is>
      </c>
    </row>
    <row r="38">
      <c r="A38" s="2" t="inlineStr">
        <is>
          <t>记录产品尺寸、重量、包装尺寸、毛重、每箱件数、CBM和装柜量；计入报价的项目未补齐时，检查页会报警。</t>
        </is>
      </c>
    </row>
    <row r="39">
      <c r="A39" s="14" t="inlineStr">
        <is>
          <t>类别</t>
        </is>
      </c>
      <c r="B39" s="14" t="inlineStr">
        <is>
          <t>项目</t>
        </is>
      </c>
      <c r="C39" s="14" t="inlineStr">
        <is>
          <t>每套用量</t>
        </is>
      </c>
      <c r="D39" s="14" t="inlineStr">
        <is>
          <t>产品长mm</t>
        </is>
      </c>
      <c r="E39" s="14" t="inlineStr">
        <is>
          <t>产品宽mm</t>
        </is>
      </c>
      <c r="F39" s="14" t="inlineStr">
        <is>
          <t>产品高mm</t>
        </is>
      </c>
      <c r="G39" s="14" t="inlineStr">
        <is>
          <t>净重KG/件</t>
        </is>
      </c>
      <c r="H39" s="14" t="inlineStr">
        <is>
          <t>每箱件数</t>
        </is>
      </c>
      <c r="I39" s="14" t="inlineStr">
        <is>
          <t>包装长mm</t>
        </is>
      </c>
      <c r="J39" s="14" t="inlineStr">
        <is>
          <t>包装宽mm</t>
        </is>
      </c>
      <c r="K39" s="14" t="inlineStr">
        <is>
          <t>包装高mm</t>
        </is>
      </c>
      <c r="L39" s="14" t="inlineStr">
        <is>
          <t>毛重KG/箱</t>
        </is>
      </c>
      <c r="M39" s="14" t="inlineStr">
        <is>
          <t>整箱CBM</t>
        </is>
      </c>
      <c r="N39" s="14" t="inlineStr">
        <is>
          <t>单件CBM</t>
        </is>
      </c>
      <c r="O39" s="14" t="inlineStr">
        <is>
          <t>单件毛重KG</t>
        </is>
      </c>
      <c r="P39" s="14" t="inlineStr">
        <is>
          <t>体积可装件数</t>
        </is>
      </c>
      <c r="Q39" s="14" t="inlineStr">
        <is>
          <t>重量可装件数</t>
        </is>
      </c>
      <c r="R39" s="14" t="inlineStr">
        <is>
          <t>建议装柜量</t>
        </is>
      </c>
      <c r="S39" s="14" t="inlineStr">
        <is>
          <t>限制因素</t>
        </is>
      </c>
      <c r="T39" s="14" t="inlineStr">
        <is>
          <t>供应链路径</t>
        </is>
      </c>
      <c r="U39" s="14" t="inlineStr">
        <is>
          <t>备注</t>
        </is>
      </c>
    </row>
    <row r="40">
      <c r="A40" s="15">
        <f>A13</f>
        <v/>
      </c>
      <c r="B40" s="15">
        <f>B13</f>
        <v/>
      </c>
      <c r="C40" s="16" t="n">
        <v>1</v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8">
        <f>IFERROR(IF(OR(I40="",J40="",K40=""),"",I40*J40*K40/1000000000),"")</f>
        <v/>
      </c>
      <c r="N40" s="18">
        <f>IFERROR(IF(OR(M40="",H40=""),"",M40/MAX(H40,1)),"")</f>
        <v/>
      </c>
      <c r="O40" s="18">
        <f>IFERROR(IF(OR(L40="",H40=""),"",L40/MAX(H40,1)),"")</f>
        <v/>
      </c>
      <c r="P40" s="19">
        <f>IFERROR(IF(N40="","",ROUNDDOWN(装柜测算!$B$4*装柜测算!$B$6/MAX(N40,0.0001),0)),"")</f>
        <v/>
      </c>
      <c r="Q40" s="19">
        <f>IFERROR(IF(O40="","",ROUNDDOWN(MAX(0,装柜测算!$B$5-装柜测算!$B$7)/MAX(O40,0.0001),0)),"")</f>
        <v/>
      </c>
      <c r="R40" s="19">
        <f>IFERROR(IF(OR(P40="",Q40=""),"",MIN(P40,Q40)),"")</f>
        <v/>
      </c>
      <c r="S40" s="20">
        <f>IF(R40="","",IF(P40&lt;Q40,"体积限制",IF(Q40&lt;P40,"重量限制","体积/重量接近")))</f>
        <v/>
      </c>
      <c r="T40" s="20">
        <f>F13</f>
        <v/>
      </c>
      <c r="U40" s="17" t="n"/>
    </row>
    <row r="41">
      <c r="A41" s="15">
        <f>A14</f>
        <v/>
      </c>
      <c r="B41" s="15">
        <f>B14</f>
        <v/>
      </c>
      <c r="C41" s="16" t="n">
        <v>1</v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8">
        <f>IFERROR(IF(OR(I41="",J41="",K41=""),"",I41*J41*K41/1000000000),"")</f>
        <v/>
      </c>
      <c r="N41" s="18">
        <f>IFERROR(IF(OR(M41="",H41=""),"",M41/MAX(H41,1)),"")</f>
        <v/>
      </c>
      <c r="O41" s="18">
        <f>IFERROR(IF(OR(L41="",H41=""),"",L41/MAX(H41,1)),"")</f>
        <v/>
      </c>
      <c r="P41" s="19">
        <f>IFERROR(IF(N41="","",ROUNDDOWN(装柜测算!$B$4*装柜测算!$B$6/MAX(N41,0.0001),0)),"")</f>
        <v/>
      </c>
      <c r="Q41" s="19">
        <f>IFERROR(IF(O41="","",ROUNDDOWN(MAX(0,装柜测算!$B$5-装柜测算!$B$7)/MAX(O41,0.0001),0)),"")</f>
        <v/>
      </c>
      <c r="R41" s="19">
        <f>IFERROR(IF(OR(P41="",Q41=""),"",MIN(P41,Q41)),"")</f>
        <v/>
      </c>
      <c r="S41" s="20">
        <f>IF(R41="","",IF(P41&lt;Q41,"体积限制",IF(Q41&lt;P41,"重量限制","体积/重量接近")))</f>
        <v/>
      </c>
      <c r="T41" s="20">
        <f>F14</f>
        <v/>
      </c>
      <c r="U41" s="17" t="n"/>
    </row>
    <row r="42">
      <c r="A42" s="15">
        <f>A15</f>
        <v/>
      </c>
      <c r="B42" s="15">
        <f>B15</f>
        <v/>
      </c>
      <c r="C42" s="16" t="n">
        <v>1</v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8">
        <f>IFERROR(IF(OR(I42="",J42="",K42=""),"",I42*J42*K42/1000000000),"")</f>
        <v/>
      </c>
      <c r="N42" s="18">
        <f>IFERROR(IF(OR(M42="",H42=""),"",M42/MAX(H42,1)),"")</f>
        <v/>
      </c>
      <c r="O42" s="18">
        <f>IFERROR(IF(OR(L42="",H42=""),"",L42/MAX(H42,1)),"")</f>
        <v/>
      </c>
      <c r="P42" s="19">
        <f>IFERROR(IF(N42="","",ROUNDDOWN(装柜测算!$B$4*装柜测算!$B$6/MAX(N42,0.0001),0)),"")</f>
        <v/>
      </c>
      <c r="Q42" s="19">
        <f>IFERROR(IF(O42="","",ROUNDDOWN(MAX(0,装柜测算!$B$5-装柜测算!$B$7)/MAX(O42,0.0001),0)),"")</f>
        <v/>
      </c>
      <c r="R42" s="19">
        <f>IFERROR(IF(OR(P42="",Q42=""),"",MIN(P42,Q42)),"")</f>
        <v/>
      </c>
      <c r="S42" s="20">
        <f>IF(R42="","",IF(P42&lt;Q42,"体积限制",IF(Q42&lt;P42,"重量限制","体积/重量接近")))</f>
        <v/>
      </c>
      <c r="T42" s="20">
        <f>F15</f>
        <v/>
      </c>
      <c r="U42" s="17" t="n"/>
    </row>
    <row r="43">
      <c r="A43" s="15">
        <f>A16</f>
        <v/>
      </c>
      <c r="B43" s="15">
        <f>B16</f>
        <v/>
      </c>
      <c r="C43" s="16" t="n">
        <v>1</v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8">
        <f>IFERROR(IF(OR(I43="",J43="",K43=""),"",I43*J43*K43/1000000000),"")</f>
        <v/>
      </c>
      <c r="N43" s="18">
        <f>IFERROR(IF(OR(M43="",H43=""),"",M43/MAX(H43,1)),"")</f>
        <v/>
      </c>
      <c r="O43" s="18">
        <f>IFERROR(IF(OR(L43="",H43=""),"",L43/MAX(H43,1)),"")</f>
        <v/>
      </c>
      <c r="P43" s="19">
        <f>IFERROR(IF(N43="","",ROUNDDOWN(装柜测算!$B$4*装柜测算!$B$6/MAX(N43,0.0001),0)),"")</f>
        <v/>
      </c>
      <c r="Q43" s="19">
        <f>IFERROR(IF(O43="","",ROUNDDOWN(MAX(0,装柜测算!$B$5-装柜测算!$B$7)/MAX(O43,0.0001),0)),"")</f>
        <v/>
      </c>
      <c r="R43" s="19">
        <f>IFERROR(IF(OR(P43="",Q43=""),"",MIN(P43,Q43)),"")</f>
        <v/>
      </c>
      <c r="S43" s="20">
        <f>IF(R43="","",IF(P43&lt;Q43,"体积限制",IF(Q43&lt;P43,"重量限制","体积/重量接近")))</f>
        <v/>
      </c>
      <c r="T43" s="20">
        <f>F16</f>
        <v/>
      </c>
      <c r="U43" s="17" t="n"/>
    </row>
    <row r="44">
      <c r="A44" s="15">
        <f>A17</f>
        <v/>
      </c>
      <c r="B44" s="15">
        <f>B17</f>
        <v/>
      </c>
      <c r="C44" s="16" t="n">
        <v>1</v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8">
        <f>IFERROR(IF(OR(I44="",J44="",K44=""),"",I44*J44*K44/1000000000),"")</f>
        <v/>
      </c>
      <c r="N44" s="18">
        <f>IFERROR(IF(OR(M44="",H44=""),"",M44/MAX(H44,1)),"")</f>
        <v/>
      </c>
      <c r="O44" s="18">
        <f>IFERROR(IF(OR(L44="",H44=""),"",L44/MAX(H44,1)),"")</f>
        <v/>
      </c>
      <c r="P44" s="19">
        <f>IFERROR(IF(N44="","",ROUNDDOWN(装柜测算!$B$4*装柜测算!$B$6/MAX(N44,0.0001),0)),"")</f>
        <v/>
      </c>
      <c r="Q44" s="19">
        <f>IFERROR(IF(O44="","",ROUNDDOWN(MAX(0,装柜测算!$B$5-装柜测算!$B$7)/MAX(O44,0.0001),0)),"")</f>
        <v/>
      </c>
      <c r="R44" s="19">
        <f>IFERROR(IF(OR(P44="",Q44=""),"",MIN(P44,Q44)),"")</f>
        <v/>
      </c>
      <c r="S44" s="20">
        <f>IF(R44="","",IF(P44&lt;Q44,"体积限制",IF(Q44&lt;P44,"重量限制","体积/重量接近")))</f>
        <v/>
      </c>
      <c r="T44" s="20">
        <f>F17</f>
        <v/>
      </c>
      <c r="U44" s="17" t="n"/>
    </row>
    <row r="45">
      <c r="A45" s="15">
        <f>A18</f>
        <v/>
      </c>
      <c r="B45" s="15">
        <f>B18</f>
        <v/>
      </c>
      <c r="C45" s="16" t="n">
        <v>1</v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8">
        <f>IFERROR(IF(OR(I45="",J45="",K45=""),"",I45*J45*K45/1000000000),"")</f>
        <v/>
      </c>
      <c r="N45" s="18">
        <f>IFERROR(IF(OR(M45="",H45=""),"",M45/MAX(H45,1)),"")</f>
        <v/>
      </c>
      <c r="O45" s="18">
        <f>IFERROR(IF(OR(L45="",H45=""),"",L45/MAX(H45,1)),"")</f>
        <v/>
      </c>
      <c r="P45" s="19">
        <f>IFERROR(IF(N45="","",ROUNDDOWN(装柜测算!$B$4*装柜测算!$B$6/MAX(N45,0.0001),0)),"")</f>
        <v/>
      </c>
      <c r="Q45" s="19">
        <f>IFERROR(IF(O45="","",ROUNDDOWN(MAX(0,装柜测算!$B$5-装柜测算!$B$7)/MAX(O45,0.0001),0)),"")</f>
        <v/>
      </c>
      <c r="R45" s="19">
        <f>IFERROR(IF(OR(P45="",Q45=""),"",MIN(P45,Q45)),"")</f>
        <v/>
      </c>
      <c r="S45" s="20">
        <f>IF(R45="","",IF(P45&lt;Q45,"体积限制",IF(Q45&lt;P45,"重量限制","体积/重量接近")))</f>
        <v/>
      </c>
      <c r="T45" s="20">
        <f>F18</f>
        <v/>
      </c>
      <c r="U45" s="17" t="n"/>
    </row>
    <row r="46">
      <c r="A46" s="15">
        <f>A19</f>
        <v/>
      </c>
      <c r="B46" s="15">
        <f>B19</f>
        <v/>
      </c>
      <c r="C46" s="16" t="n">
        <v>1</v>
      </c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8">
        <f>IFERROR(IF(OR(I46="",J46="",K46=""),"",I46*J46*K46/1000000000),"")</f>
        <v/>
      </c>
      <c r="N46" s="18">
        <f>IFERROR(IF(OR(M46="",H46=""),"",M46/MAX(H46,1)),"")</f>
        <v/>
      </c>
      <c r="O46" s="18">
        <f>IFERROR(IF(OR(L46="",H46=""),"",L46/MAX(H46,1)),"")</f>
        <v/>
      </c>
      <c r="P46" s="19">
        <f>IFERROR(IF(N46="","",ROUNDDOWN(装柜测算!$B$4*装柜测算!$B$6/MAX(N46,0.0001),0)),"")</f>
        <v/>
      </c>
      <c r="Q46" s="19">
        <f>IFERROR(IF(O46="","",ROUNDDOWN(MAX(0,装柜测算!$B$5-装柜测算!$B$7)/MAX(O46,0.0001),0)),"")</f>
        <v/>
      </c>
      <c r="R46" s="19">
        <f>IFERROR(IF(OR(P46="",Q46=""),"",MIN(P46,Q46)),"")</f>
        <v/>
      </c>
      <c r="S46" s="20">
        <f>IF(R46="","",IF(P46&lt;Q46,"体积限制",IF(Q46&lt;P46,"重量限制","体积/重量接近")))</f>
        <v/>
      </c>
      <c r="T46" s="20">
        <f>F19</f>
        <v/>
      </c>
      <c r="U46" s="17" t="n"/>
    </row>
    <row r="47">
      <c r="A47" s="15">
        <f>A20</f>
        <v/>
      </c>
      <c r="B47" s="15">
        <f>B20</f>
        <v/>
      </c>
      <c r="C47" s="16" t="n">
        <v>1</v>
      </c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8">
        <f>IFERROR(IF(OR(I47="",J47="",K47=""),"",I47*J47*K47/1000000000),"")</f>
        <v/>
      </c>
      <c r="N47" s="18">
        <f>IFERROR(IF(OR(M47="",H47=""),"",M47/MAX(H47,1)),"")</f>
        <v/>
      </c>
      <c r="O47" s="18">
        <f>IFERROR(IF(OR(L47="",H47=""),"",L47/MAX(H47,1)),"")</f>
        <v/>
      </c>
      <c r="P47" s="19">
        <f>IFERROR(IF(N47="","",ROUNDDOWN(装柜测算!$B$4*装柜测算!$B$6/MAX(N47,0.0001),0)),"")</f>
        <v/>
      </c>
      <c r="Q47" s="19">
        <f>IFERROR(IF(O47="","",ROUNDDOWN(MAX(0,装柜测算!$B$5-装柜测算!$B$7)/MAX(O47,0.0001),0)),"")</f>
        <v/>
      </c>
      <c r="R47" s="19">
        <f>IFERROR(IF(OR(P47="",Q47=""),"",MIN(P47,Q47)),"")</f>
        <v/>
      </c>
      <c r="S47" s="20">
        <f>IF(R47="","",IF(P47&lt;Q47,"体积限制",IF(Q47&lt;P47,"重量限制","体积/重量接近")))</f>
        <v/>
      </c>
      <c r="T47" s="20">
        <f>F20</f>
        <v/>
      </c>
      <c r="U47" s="17" t="n"/>
    </row>
    <row r="48">
      <c r="A48" s="15">
        <f>A21</f>
        <v/>
      </c>
      <c r="B48" s="15">
        <f>B21</f>
        <v/>
      </c>
      <c r="C48" s="16" t="n">
        <v>1</v>
      </c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8">
        <f>IFERROR(IF(OR(I48="",J48="",K48=""),"",I48*J48*K48/1000000000),"")</f>
        <v/>
      </c>
      <c r="N48" s="18">
        <f>IFERROR(IF(OR(M48="",H48=""),"",M48/MAX(H48,1)),"")</f>
        <v/>
      </c>
      <c r="O48" s="18">
        <f>IFERROR(IF(OR(L48="",H48=""),"",L48/MAX(H48,1)),"")</f>
        <v/>
      </c>
      <c r="P48" s="19">
        <f>IFERROR(IF(N48="","",ROUNDDOWN(装柜测算!$B$4*装柜测算!$B$6/MAX(N48,0.0001),0)),"")</f>
        <v/>
      </c>
      <c r="Q48" s="19">
        <f>IFERROR(IF(O48="","",ROUNDDOWN(MAX(0,装柜测算!$B$5-装柜测算!$B$7)/MAX(O48,0.0001),0)),"")</f>
        <v/>
      </c>
      <c r="R48" s="19">
        <f>IFERROR(IF(OR(P48="",Q48=""),"",MIN(P48,Q48)),"")</f>
        <v/>
      </c>
      <c r="S48" s="20">
        <f>IF(R48="","",IF(P48&lt;Q48,"体积限制",IF(Q48&lt;P48,"重量限制","体积/重量接近")))</f>
        <v/>
      </c>
      <c r="T48" s="20">
        <f>F21</f>
        <v/>
      </c>
      <c r="U48" s="17" t="n"/>
    </row>
    <row r="49">
      <c r="A49" s="15">
        <f>A22</f>
        <v/>
      </c>
      <c r="B49" s="15">
        <f>B22</f>
        <v/>
      </c>
      <c r="C49" s="16" t="n">
        <v>1</v>
      </c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8">
        <f>IFERROR(IF(OR(I49="",J49="",K49=""),"",I49*J49*K49/1000000000),"")</f>
        <v/>
      </c>
      <c r="N49" s="18">
        <f>IFERROR(IF(OR(M49="",H49=""),"",M49/MAX(H49,1)),"")</f>
        <v/>
      </c>
      <c r="O49" s="18">
        <f>IFERROR(IF(OR(L49="",H49=""),"",L49/MAX(H49,1)),"")</f>
        <v/>
      </c>
      <c r="P49" s="19">
        <f>IFERROR(IF(N49="","",ROUNDDOWN(装柜测算!$B$4*装柜测算!$B$6/MAX(N49,0.0001),0)),"")</f>
        <v/>
      </c>
      <c r="Q49" s="19">
        <f>IFERROR(IF(O49="","",ROUNDDOWN(MAX(0,装柜测算!$B$5-装柜测算!$B$7)/MAX(O49,0.0001),0)),"")</f>
        <v/>
      </c>
      <c r="R49" s="19">
        <f>IFERROR(IF(OR(P49="",Q49=""),"",MIN(P49,Q49)),"")</f>
        <v/>
      </c>
      <c r="S49" s="20">
        <f>IF(R49="","",IF(P49&lt;Q49,"体积限制",IF(Q49&lt;P49,"重量限制","体积/重量接近")))</f>
        <v/>
      </c>
      <c r="T49" s="20">
        <f>F22</f>
        <v/>
      </c>
      <c r="U49" s="17" t="n"/>
    </row>
    <row r="50">
      <c r="A50" s="15">
        <f>A23</f>
        <v/>
      </c>
      <c r="B50" s="15">
        <f>B23</f>
        <v/>
      </c>
      <c r="C50" s="16" t="n">
        <v>1</v>
      </c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8">
        <f>IFERROR(IF(OR(I50="",J50="",K50=""),"",I50*J50*K50/1000000000),"")</f>
        <v/>
      </c>
      <c r="N50" s="18">
        <f>IFERROR(IF(OR(M50="",H50=""),"",M50/MAX(H50,1)),"")</f>
        <v/>
      </c>
      <c r="O50" s="18">
        <f>IFERROR(IF(OR(L50="",H50=""),"",L50/MAX(H50,1)),"")</f>
        <v/>
      </c>
      <c r="P50" s="19">
        <f>IFERROR(IF(N50="","",ROUNDDOWN(装柜测算!$B$4*装柜测算!$B$6/MAX(N50,0.0001),0)),"")</f>
        <v/>
      </c>
      <c r="Q50" s="19">
        <f>IFERROR(IF(O50="","",ROUNDDOWN(MAX(0,装柜测算!$B$5-装柜测算!$B$7)/MAX(O50,0.0001),0)),"")</f>
        <v/>
      </c>
      <c r="R50" s="19">
        <f>IFERROR(IF(OR(P50="",Q50=""),"",MIN(P50,Q50)),"")</f>
        <v/>
      </c>
      <c r="S50" s="20">
        <f>IF(R50="","",IF(P50&lt;Q50,"体积限制",IF(Q50&lt;P50,"重量限制","体积/重量接近")))</f>
        <v/>
      </c>
      <c r="T50" s="20">
        <f>F23</f>
        <v/>
      </c>
      <c r="U50" s="17" t="n"/>
    </row>
    <row r="51">
      <c r="A51" s="15">
        <f>A24</f>
        <v/>
      </c>
      <c r="B51" s="15">
        <f>B24</f>
        <v/>
      </c>
      <c r="C51" s="16" t="n">
        <v>1</v>
      </c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8">
        <f>IFERROR(IF(OR(I51="",J51="",K51=""),"",I51*J51*K51/1000000000),"")</f>
        <v/>
      </c>
      <c r="N51" s="18">
        <f>IFERROR(IF(OR(M51="",H51=""),"",M51/MAX(H51,1)),"")</f>
        <v/>
      </c>
      <c r="O51" s="18">
        <f>IFERROR(IF(OR(L51="",H51=""),"",L51/MAX(H51,1)),"")</f>
        <v/>
      </c>
      <c r="P51" s="19">
        <f>IFERROR(IF(N51="","",ROUNDDOWN(装柜测算!$B$4*装柜测算!$B$6/MAX(N51,0.0001),0)),"")</f>
        <v/>
      </c>
      <c r="Q51" s="19">
        <f>IFERROR(IF(O51="","",ROUNDDOWN(MAX(0,装柜测算!$B$5-装柜测算!$B$7)/MAX(O51,0.0001),0)),"")</f>
        <v/>
      </c>
      <c r="R51" s="19">
        <f>IFERROR(IF(OR(P51="",Q51=""),"",MIN(P51,Q51)),"")</f>
        <v/>
      </c>
      <c r="S51" s="20">
        <f>IF(R51="","",IF(P51&lt;Q51,"体积限制",IF(Q51&lt;P51,"重量限制","体积/重量接近")))</f>
        <v/>
      </c>
      <c r="T51" s="20">
        <f>F24</f>
        <v/>
      </c>
      <c r="U51" s="17" t="n"/>
    </row>
  </sheetData>
  <mergeCells count="7">
    <mergeCell ref="A10:P10"/>
    <mergeCell ref="A38:U38"/>
    <mergeCell ref="K4:M8"/>
    <mergeCell ref="A1:S1"/>
    <mergeCell ref="N4:P8"/>
    <mergeCell ref="A37:U37"/>
    <mergeCell ref="A2:S2"/>
  </mergeCells>
  <dataValidations count="31">
    <dataValidation sqref="D13:D34" showDropDown="0" showInputMessage="0" showErrorMessage="0" allowBlank="0" errorTitle="选项不匹配" error="请选择下拉列表中的标准选项。" type="list">
      <formula1>QuoteSources</formula1>
    </dataValidation>
    <dataValidation sqref="E13" showDropDown="0" showInputMessage="0" showErrorMessage="0" allowBlank="0" errorTitle="选项不匹配" error="请选择下拉列表中的标准选项。" type="list">
      <formula1>=IF($D13="中国供应商",ChinaCostTerms,IF($D13="手动确认",ManualCostTerms,NigeriaCostTerms))</formula1>
    </dataValidation>
    <dataValidation sqref="E14" showDropDown="0" showInputMessage="0" showErrorMessage="0" allowBlank="0" errorTitle="选项不匹配" error="请选择下拉列表中的标准选项。" type="list">
      <formula1>=IF($D14="中国供应商",ChinaCostTerms,IF($D14="手动确认",ManualCostTerms,NigeriaCostTerms))</formula1>
    </dataValidation>
    <dataValidation sqref="E15" showDropDown="0" showInputMessage="0" showErrorMessage="0" allowBlank="0" errorTitle="选项不匹配" error="请选择下拉列表中的标准选项。" type="list">
      <formula1>=IF($D15="中国供应商",ChinaCostTerms,IF($D15="手动确认",ManualCostTerms,NigeriaCostTerms))</formula1>
    </dataValidation>
    <dataValidation sqref="E16" showDropDown="0" showInputMessage="0" showErrorMessage="0" allowBlank="0" errorTitle="选项不匹配" error="请选择下拉列表中的标准选项。" type="list">
      <formula1>=IF($D16="中国供应商",ChinaCostTerms,IF($D16="手动确认",ManualCostTerms,NigeriaCostTerms))</formula1>
    </dataValidation>
    <dataValidation sqref="E17" showDropDown="0" showInputMessage="0" showErrorMessage="0" allowBlank="0" errorTitle="选项不匹配" error="请选择下拉列表中的标准选项。" type="list">
      <formula1>=IF($D17="中国供应商",ChinaCostTerms,IF($D17="手动确认",ManualCostTerms,NigeriaCostTerms))</formula1>
    </dataValidation>
    <dataValidation sqref="E18" showDropDown="0" showInputMessage="0" showErrorMessage="0" allowBlank="0" errorTitle="选项不匹配" error="请选择下拉列表中的标准选项。" type="list">
      <formula1>=IF($D18="中国供应商",ChinaCostTerms,IF($D18="手动确认",ManualCostTerms,NigeriaCostTerms))</formula1>
    </dataValidation>
    <dataValidation sqref="E19" showDropDown="0" showInputMessage="0" showErrorMessage="0" allowBlank="0" errorTitle="选项不匹配" error="请选择下拉列表中的标准选项。" type="list">
      <formula1>=IF($D19="中国供应商",ChinaCostTerms,IF($D19="手动确认",ManualCostTerms,NigeriaCostTerms))</formula1>
    </dataValidation>
    <dataValidation sqref="E20" showDropDown="0" showInputMessage="0" showErrorMessage="0" allowBlank="0" errorTitle="选项不匹配" error="请选择下拉列表中的标准选项。" type="list">
      <formula1>=IF($D20="中国供应商",ChinaCostTerms,IF($D20="手动确认",ManualCostTerms,NigeriaCostTerms))</formula1>
    </dataValidation>
    <dataValidation sqref="E21" showDropDown="0" showInputMessage="0" showErrorMessage="0" allowBlank="0" errorTitle="选项不匹配" error="请选择下拉列表中的标准选项。" type="list">
      <formula1>=IF($D21="中国供应商",ChinaCostTerms,IF($D21="手动确认",ManualCostTerms,NigeriaCostTerms))</formula1>
    </dataValidation>
    <dataValidation sqref="E22" showDropDown="0" showInputMessage="0" showErrorMessage="0" allowBlank="0" errorTitle="选项不匹配" error="请选择下拉列表中的标准选项。" type="list">
      <formula1>=IF($D22="中国供应商",ChinaCostTerms,IF($D22="手动确认",ManualCostTerms,NigeriaCostTerms))</formula1>
    </dataValidation>
    <dataValidation sqref="E23" showDropDown="0" showInputMessage="0" showErrorMessage="0" allowBlank="0" errorTitle="选项不匹配" error="请选择下拉列表中的标准选项。" type="list">
      <formula1>=IF($D23="中国供应商",ChinaCostTerms,IF($D23="手动确认",ManualCostTerms,NigeriaCostTerms))</formula1>
    </dataValidation>
    <dataValidation sqref="E24" showDropDown="0" showInputMessage="0" showErrorMessage="0" allowBlank="0" errorTitle="选项不匹配" error="请选择下拉列表中的标准选项。" type="list">
      <formula1>=IF($D24="中国供应商",ChinaCostTerms,IF($D24="手动确认",ManualCostTerms,NigeriaCostTerms))</formula1>
    </dataValidation>
    <dataValidation sqref="E25" showDropDown="0" showInputMessage="0" showErrorMessage="0" allowBlank="0" errorTitle="选项不匹配" error="请选择下拉列表中的标准选项。" type="list">
      <formula1>=IF($D25="中国供应商",ChinaCostTerms,IF($D25="手动确认",ManualCostTerms,NigeriaCostTerms))</formula1>
    </dataValidation>
    <dataValidation sqref="E26" showDropDown="0" showInputMessage="0" showErrorMessage="0" allowBlank="0" errorTitle="选项不匹配" error="请选择下拉列表中的标准选项。" type="list">
      <formula1>=IF($D26="中国供应商",ChinaCostTerms,IF($D26="手动确认",ManualCostTerms,NigeriaCostTerms))</formula1>
    </dataValidation>
    <dataValidation sqref="E27" showDropDown="0" showInputMessage="0" showErrorMessage="0" allowBlank="0" errorTitle="选项不匹配" error="请选择下拉列表中的标准选项。" type="list">
      <formula1>=IF($D27="中国供应商",ChinaCostTerms,IF($D27="手动确认",ManualCostTerms,NigeriaCostTerms))</formula1>
    </dataValidation>
    <dataValidation sqref="E28" showDropDown="0" showInputMessage="0" showErrorMessage="0" allowBlank="0" errorTitle="选项不匹配" error="请选择下拉列表中的标准选项。" type="list">
      <formula1>=IF($D28="中国供应商",ChinaCostTerms,IF($D28="手动确认",ManualCostTerms,NigeriaCostTerms))</formula1>
    </dataValidation>
    <dataValidation sqref="E29" showDropDown="0" showInputMessage="0" showErrorMessage="0" allowBlank="0" errorTitle="选项不匹配" error="请选择下拉列表中的标准选项。" type="list">
      <formula1>=IF($D29="中国供应商",ChinaCostTerms,IF($D29="手动确认",ManualCostTerms,NigeriaCostTerms))</formula1>
    </dataValidation>
    <dataValidation sqref="E30" showDropDown="0" showInputMessage="0" showErrorMessage="0" allowBlank="0" errorTitle="选项不匹配" error="请选择下拉列表中的标准选项。" type="list">
      <formula1>=IF($D30="中国供应商",ChinaCostTerms,IF($D30="手动确认",ManualCostTerms,NigeriaCostTerms))</formula1>
    </dataValidation>
    <dataValidation sqref="E31" showDropDown="0" showInputMessage="0" showErrorMessage="0" allowBlank="0" errorTitle="选项不匹配" error="请选择下拉列表中的标准选项。" type="list">
      <formula1>=IF($D31="中国供应商",ChinaCostTerms,IF($D31="手动确认",ManualCostTerms,NigeriaCostTerms))</formula1>
    </dataValidation>
    <dataValidation sqref="E32" showDropDown="0" showInputMessage="0" showErrorMessage="0" allowBlank="0" errorTitle="选项不匹配" error="请选择下拉列表中的标准选项。" type="list">
      <formula1>=IF($D32="中国供应商",ChinaCostTerms,IF($D32="手动确认",ManualCostTerms,NigeriaCostTerms))</formula1>
    </dataValidation>
    <dataValidation sqref="E33" showDropDown="0" showInputMessage="0" showErrorMessage="0" allowBlank="0" errorTitle="选项不匹配" error="请选择下拉列表中的标准选项。" type="list">
      <formula1>=IF($D33="中国供应商",ChinaCostTerms,IF($D33="手动确认",ManualCostTerms,NigeriaCostTerms))</formula1>
    </dataValidation>
    <dataValidation sqref="E34" showDropDown="0" showInputMessage="0" showErrorMessage="0" allowBlank="0" errorTitle="选项不匹配" error="请选择下拉列表中的标准选项。" type="list">
      <formula1>=IF($D34="中国供应商",ChinaCostTerms,IF($D34="手动确认",ManualCostTerms,NigeriaCostTerms))</formula1>
    </dataValidation>
    <dataValidation sqref="F13:F34" showDropDown="0" showInputMessage="0" showErrorMessage="0" allowBlank="0" errorTitle="选项不匹配" error="请选择下拉列表中的标准选项。" type="list">
      <formula1>SupplyPaths</formula1>
    </dataValidation>
    <dataValidation sqref="G13:G34" showDropDown="0" showInputMessage="0" showErrorMessage="0" allowBlank="0" errorTitle="选项不匹配" error="请选择下拉列表中的标准选项。" type="list">
      <formula1>CostHandling</formula1>
    </dataValidation>
    <dataValidation sqref="H13:H34" showDropDown="0" showInputMessage="0" showErrorMessage="0" allowBlank="0" errorTitle="选项不匹配" error="请选择下拉列表中的标准选项。" type="list">
      <formula1>YesNo</formula1>
    </dataValidation>
    <dataValidation sqref="B6" showDropDown="0" showInputMessage="0" showErrorMessage="0" allowBlank="0" errorTitle="选项不匹配" error="请选择下拉列表中的标准选项。" type="list">
      <formula1>CustomerTerms</formula1>
    </dataValidation>
    <dataValidation sqref="F6" showDropDown="0" showInputMessage="0" showErrorMessage="0" allowBlank="0" errorTitle="选项不匹配" error="请选择下拉列表中的标准选项。" type="list">
      <formula1>QuoteDisplayModes</formula1>
    </dataValidation>
    <dataValidation sqref="J4" showDropDown="0" showInputMessage="0" showErrorMessage="0" allowBlank="0" errorTitle="选项不匹配" error="请选择下拉列表中的标准选项。" type="list">
      <formula1>Currencies</formula1>
    </dataValidation>
    <dataValidation sqref="J6" showDropDown="0" showInputMessage="0" showErrorMessage="0" allowBlank="0" errorTitle="选项不匹配" error="请选择下拉列表中的标准选项。" type="list">
      <formula1>YesNo</formula1>
    </dataValidation>
    <dataValidation sqref="O34" showDropDown="0" showInputMessage="0" showErrorMessage="0" allowBlank="0" errorTitle="选项不匹配" error="请选择下拉列表中的标准选项。" type="list">
      <formula1>LogisticsInputModes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8" customWidth="1" min="21" max="21"/>
  </cols>
  <sheetData>
    <row r="1">
      <c r="A1" s="1" t="inlineStr">
        <is>
          <t>产品与包装信息</t>
        </is>
      </c>
    </row>
    <row r="2">
      <c r="A2" s="2" t="inlineStr">
        <is>
          <t>内部联动页：数据来自填写首页下方的产品与包装信息区，用于检查项和客户版包装信息展示。</t>
        </is>
      </c>
    </row>
    <row r="3"/>
    <row r="4">
      <c r="A4" s="14" t="inlineStr">
        <is>
          <t>类别</t>
        </is>
      </c>
      <c r="B4" s="14" t="inlineStr">
        <is>
          <t>项目</t>
        </is>
      </c>
      <c r="C4" s="14" t="inlineStr">
        <is>
          <t>每套用量</t>
        </is>
      </c>
      <c r="D4" s="14" t="inlineStr">
        <is>
          <t>产品长mm</t>
        </is>
      </c>
      <c r="E4" s="14" t="inlineStr">
        <is>
          <t>产品宽mm</t>
        </is>
      </c>
      <c r="F4" s="14" t="inlineStr">
        <is>
          <t>产品高mm</t>
        </is>
      </c>
      <c r="G4" s="14" t="inlineStr">
        <is>
          <t>净重KG/件</t>
        </is>
      </c>
      <c r="H4" s="14" t="inlineStr">
        <is>
          <t>每箱件数</t>
        </is>
      </c>
      <c r="I4" s="14" t="inlineStr">
        <is>
          <t>包装长mm</t>
        </is>
      </c>
      <c r="J4" s="14" t="inlineStr">
        <is>
          <t>包装宽mm</t>
        </is>
      </c>
      <c r="K4" s="14" t="inlineStr">
        <is>
          <t>包装高mm</t>
        </is>
      </c>
      <c r="L4" s="14" t="inlineStr">
        <is>
          <t>毛重KG/箱</t>
        </is>
      </c>
      <c r="M4" s="14" t="inlineStr">
        <is>
          <t>整箱CBM</t>
        </is>
      </c>
      <c r="N4" s="14" t="inlineStr">
        <is>
          <t>单件CBM</t>
        </is>
      </c>
      <c r="O4" s="14" t="inlineStr">
        <is>
          <t>单件毛重KG</t>
        </is>
      </c>
      <c r="P4" s="14" t="inlineStr">
        <is>
          <t>体积可装件数</t>
        </is>
      </c>
      <c r="Q4" s="14" t="inlineStr">
        <is>
          <t>重量可装件数</t>
        </is>
      </c>
      <c r="R4" s="14" t="inlineStr">
        <is>
          <t>建议装柜量</t>
        </is>
      </c>
      <c r="S4" s="14" t="inlineStr">
        <is>
          <t>限制因素</t>
        </is>
      </c>
      <c r="T4" s="14" t="inlineStr">
        <is>
          <t>供应链路径</t>
        </is>
      </c>
      <c r="U4" s="14" t="inlineStr">
        <is>
          <t>备注</t>
        </is>
      </c>
      <c r="V4" s="21" t="inlineStr">
        <is>
          <t>每套CBM_helper</t>
        </is>
      </c>
      <c r="W4" s="21" t="inlineStr">
        <is>
          <t>每套KG_helper</t>
        </is>
      </c>
      <c r="X4" s="21" t="inlineStr">
        <is>
          <t>尼日利亚组合_helper</t>
        </is>
      </c>
      <c r="Y4" s="21" t="inlineStr">
        <is>
          <t>中国直发_helper</t>
        </is>
      </c>
      <c r="Z4" s="21" t="inlineStr">
        <is>
          <t>全部实物_helper</t>
        </is>
      </c>
      <c r="AA4" s="21" t="inlineStr">
        <is>
          <t>主产品_helper</t>
        </is>
      </c>
      <c r="AB4" s="21" t="inlineStr">
        <is>
          <t>中国发尼厂_helper</t>
        </is>
      </c>
    </row>
    <row r="5">
      <c r="A5" s="20">
        <f>填写首页!A13</f>
        <v/>
      </c>
      <c r="B5" s="20">
        <f>填写首页!B13</f>
        <v/>
      </c>
      <c r="C5" s="18">
        <f>IF(填写首页!C40="","",填写首页!C40)</f>
        <v/>
      </c>
      <c r="D5" s="18">
        <f>IF(填写首页!D40="","",填写首页!D40)</f>
        <v/>
      </c>
      <c r="E5" s="18">
        <f>IF(填写首页!E40="","",填写首页!E40)</f>
        <v/>
      </c>
      <c r="F5" s="18">
        <f>IF(填写首页!F40="","",填写首页!F40)</f>
        <v/>
      </c>
      <c r="G5" s="18">
        <f>IF(填写首页!G40="","",填写首页!G40)</f>
        <v/>
      </c>
      <c r="H5" s="18">
        <f>IF(填写首页!H40="","",填写首页!H40)</f>
        <v/>
      </c>
      <c r="I5" s="18">
        <f>IF(填写首页!I40="","",填写首页!I40)</f>
        <v/>
      </c>
      <c r="J5" s="18">
        <f>IF(填写首页!J40="","",填写首页!J40)</f>
        <v/>
      </c>
      <c r="K5" s="18">
        <f>IF(填写首页!K40="","",填写首页!K40)</f>
        <v/>
      </c>
      <c r="L5" s="18">
        <f>IF(填写首页!L40="","",填写首页!L40)</f>
        <v/>
      </c>
      <c r="M5" s="18">
        <f>IF(填写首页!M40="","",填写首页!M40)</f>
        <v/>
      </c>
      <c r="N5" s="18">
        <f>IF(填写首页!N40="","",填写首页!N40)</f>
        <v/>
      </c>
      <c r="O5" s="18">
        <f>IF(填写首页!O40="","",填写首页!O40)</f>
        <v/>
      </c>
      <c r="P5" s="19">
        <f>IF(填写首页!P40="","",填写首页!P40)</f>
        <v/>
      </c>
      <c r="Q5" s="19">
        <f>IF(填写首页!Q40="","",填写首页!Q40)</f>
        <v/>
      </c>
      <c r="R5" s="19">
        <f>IF(填写首页!R40="","",填写首页!R40)</f>
        <v/>
      </c>
      <c r="S5" s="20">
        <f>IF(填写首页!S40="","",填写首页!S40)</f>
        <v/>
      </c>
      <c r="T5" s="20">
        <f>填写首页!F13</f>
        <v/>
      </c>
      <c r="U5" s="20">
        <f>IF(填写首页!U40="","",填写首页!U40)</f>
        <v/>
      </c>
      <c r="V5" s="20">
        <f>IFERROR(C5*N5,0)</f>
        <v/>
      </c>
      <c r="W5" s="20">
        <f>IFERROR(C5*O5,0)</f>
        <v/>
      </c>
      <c r="X5" s="20">
        <f>IF(OR(T5="尼日利亚工厂配套后出货",T5="中国配件发尼厂后配套",T5="尼日利亚本地采购配套"),1,0)</f>
        <v/>
      </c>
      <c r="Y5" s="20">
        <f>IF(T5="中国配件直发客户",1,0)</f>
        <v/>
      </c>
      <c r="Z5" s="20">
        <f>IF(B5&lt;&gt;"",1,0)</f>
        <v/>
      </c>
      <c r="AA5" s="20">
        <f>IF(B5="toilet bowl/pan马桶",1,0)</f>
        <v/>
      </c>
      <c r="AB5" s="20">
        <f>IF(AND(T5="中国配件发尼厂后配套",填写首页!$E$13&lt;&gt;"到尼厂入库成本"),1,0)</f>
        <v/>
      </c>
    </row>
    <row r="6">
      <c r="A6" s="20">
        <f>填写首页!A14</f>
        <v/>
      </c>
      <c r="B6" s="20">
        <f>填写首页!B14</f>
        <v/>
      </c>
      <c r="C6" s="18">
        <f>IF(填写首页!C41="","",填写首页!C41)</f>
        <v/>
      </c>
      <c r="D6" s="18">
        <f>IF(填写首页!D41="","",填写首页!D41)</f>
        <v/>
      </c>
      <c r="E6" s="18">
        <f>IF(填写首页!E41="","",填写首页!E41)</f>
        <v/>
      </c>
      <c r="F6" s="18">
        <f>IF(填写首页!F41="","",填写首页!F41)</f>
        <v/>
      </c>
      <c r="G6" s="18">
        <f>IF(填写首页!G41="","",填写首页!G41)</f>
        <v/>
      </c>
      <c r="H6" s="18">
        <f>IF(填写首页!H41="","",填写首页!H41)</f>
        <v/>
      </c>
      <c r="I6" s="18">
        <f>IF(填写首页!I41="","",填写首页!I41)</f>
        <v/>
      </c>
      <c r="J6" s="18">
        <f>IF(填写首页!J41="","",填写首页!J41)</f>
        <v/>
      </c>
      <c r="K6" s="18">
        <f>IF(填写首页!K41="","",填写首页!K41)</f>
        <v/>
      </c>
      <c r="L6" s="18">
        <f>IF(填写首页!L41="","",填写首页!L41)</f>
        <v/>
      </c>
      <c r="M6" s="18">
        <f>IF(填写首页!M41="","",填写首页!M41)</f>
        <v/>
      </c>
      <c r="N6" s="18">
        <f>IF(填写首页!N41="","",填写首页!N41)</f>
        <v/>
      </c>
      <c r="O6" s="18">
        <f>IF(填写首页!O41="","",填写首页!O41)</f>
        <v/>
      </c>
      <c r="P6" s="19">
        <f>IF(填写首页!P41="","",填写首页!P41)</f>
        <v/>
      </c>
      <c r="Q6" s="19">
        <f>IF(填写首页!Q41="","",填写首页!Q41)</f>
        <v/>
      </c>
      <c r="R6" s="19">
        <f>IF(填写首页!R41="","",填写首页!R41)</f>
        <v/>
      </c>
      <c r="S6" s="20">
        <f>IF(填写首页!S41="","",填写首页!S41)</f>
        <v/>
      </c>
      <c r="T6" s="20">
        <f>填写首页!F14</f>
        <v/>
      </c>
      <c r="U6" s="20">
        <f>IF(填写首页!U41="","",填写首页!U41)</f>
        <v/>
      </c>
      <c r="V6" s="20">
        <f>IFERROR(C6*N6,0)</f>
        <v/>
      </c>
      <c r="W6" s="20">
        <f>IFERROR(C6*O6,0)</f>
        <v/>
      </c>
      <c r="X6" s="20">
        <f>IF(OR(T6="尼日利亚工厂配套后出货",T6="中国配件发尼厂后配套",T6="尼日利亚本地采购配套"),1,0)</f>
        <v/>
      </c>
      <c r="Y6" s="20">
        <f>IF(T6="中国配件直发客户",1,0)</f>
        <v/>
      </c>
      <c r="Z6" s="20">
        <f>IF(B6&lt;&gt;"",1,0)</f>
        <v/>
      </c>
      <c r="AA6" s="20">
        <f>IF(B6="toilet bowl/pan马桶",1,0)</f>
        <v/>
      </c>
      <c r="AB6" s="20">
        <f>IF(AND(T6="中国配件发尼厂后配套",填写首页!$E$14&lt;&gt;"到尼厂入库成本"),1,0)</f>
        <v/>
      </c>
    </row>
    <row r="7">
      <c r="A7" s="20">
        <f>填写首页!A15</f>
        <v/>
      </c>
      <c r="B7" s="20">
        <f>填写首页!B15</f>
        <v/>
      </c>
      <c r="C7" s="18">
        <f>IF(填写首页!C42="","",填写首页!C42)</f>
        <v/>
      </c>
      <c r="D7" s="18">
        <f>IF(填写首页!D42="","",填写首页!D42)</f>
        <v/>
      </c>
      <c r="E7" s="18">
        <f>IF(填写首页!E42="","",填写首页!E42)</f>
        <v/>
      </c>
      <c r="F7" s="18">
        <f>IF(填写首页!F42="","",填写首页!F42)</f>
        <v/>
      </c>
      <c r="G7" s="18">
        <f>IF(填写首页!G42="","",填写首页!G42)</f>
        <v/>
      </c>
      <c r="H7" s="18">
        <f>IF(填写首页!H42="","",填写首页!H42)</f>
        <v/>
      </c>
      <c r="I7" s="18">
        <f>IF(填写首页!I42="","",填写首页!I42)</f>
        <v/>
      </c>
      <c r="J7" s="18">
        <f>IF(填写首页!J42="","",填写首页!J42)</f>
        <v/>
      </c>
      <c r="K7" s="18">
        <f>IF(填写首页!K42="","",填写首页!K42)</f>
        <v/>
      </c>
      <c r="L7" s="18">
        <f>IF(填写首页!L42="","",填写首页!L42)</f>
        <v/>
      </c>
      <c r="M7" s="18">
        <f>IF(填写首页!M42="","",填写首页!M42)</f>
        <v/>
      </c>
      <c r="N7" s="18">
        <f>IF(填写首页!N42="","",填写首页!N42)</f>
        <v/>
      </c>
      <c r="O7" s="18">
        <f>IF(填写首页!O42="","",填写首页!O42)</f>
        <v/>
      </c>
      <c r="P7" s="19">
        <f>IF(填写首页!P42="","",填写首页!P42)</f>
        <v/>
      </c>
      <c r="Q7" s="19">
        <f>IF(填写首页!Q42="","",填写首页!Q42)</f>
        <v/>
      </c>
      <c r="R7" s="19">
        <f>IF(填写首页!R42="","",填写首页!R42)</f>
        <v/>
      </c>
      <c r="S7" s="20">
        <f>IF(填写首页!S42="","",填写首页!S42)</f>
        <v/>
      </c>
      <c r="T7" s="20">
        <f>填写首页!F15</f>
        <v/>
      </c>
      <c r="U7" s="20">
        <f>IF(填写首页!U42="","",填写首页!U42)</f>
        <v/>
      </c>
      <c r="V7" s="20">
        <f>IFERROR(C7*N7,0)</f>
        <v/>
      </c>
      <c r="W7" s="20">
        <f>IFERROR(C7*O7,0)</f>
        <v/>
      </c>
      <c r="X7" s="20">
        <f>IF(OR(T7="尼日利亚工厂配套后出货",T7="中国配件发尼厂后配套",T7="尼日利亚本地采购配套"),1,0)</f>
        <v/>
      </c>
      <c r="Y7" s="20">
        <f>IF(T7="中国配件直发客户",1,0)</f>
        <v/>
      </c>
      <c r="Z7" s="20">
        <f>IF(B7&lt;&gt;"",1,0)</f>
        <v/>
      </c>
      <c r="AA7" s="20">
        <f>IF(B7="toilet bowl/pan马桶",1,0)</f>
        <v/>
      </c>
      <c r="AB7" s="20">
        <f>IF(AND(T7="中国配件发尼厂后配套",填写首页!$E$15&lt;&gt;"到尼厂入库成本"),1,0)</f>
        <v/>
      </c>
    </row>
    <row r="8">
      <c r="A8" s="20">
        <f>填写首页!A16</f>
        <v/>
      </c>
      <c r="B8" s="20">
        <f>填写首页!B16</f>
        <v/>
      </c>
      <c r="C8" s="18">
        <f>IF(填写首页!C43="","",填写首页!C43)</f>
        <v/>
      </c>
      <c r="D8" s="18">
        <f>IF(填写首页!D43="","",填写首页!D43)</f>
        <v/>
      </c>
      <c r="E8" s="18">
        <f>IF(填写首页!E43="","",填写首页!E43)</f>
        <v/>
      </c>
      <c r="F8" s="18">
        <f>IF(填写首页!F43="","",填写首页!F43)</f>
        <v/>
      </c>
      <c r="G8" s="18">
        <f>IF(填写首页!G43="","",填写首页!G43)</f>
        <v/>
      </c>
      <c r="H8" s="18">
        <f>IF(填写首页!H43="","",填写首页!H43)</f>
        <v/>
      </c>
      <c r="I8" s="18">
        <f>IF(填写首页!I43="","",填写首页!I43)</f>
        <v/>
      </c>
      <c r="J8" s="18">
        <f>IF(填写首页!J43="","",填写首页!J43)</f>
        <v/>
      </c>
      <c r="K8" s="18">
        <f>IF(填写首页!K43="","",填写首页!K43)</f>
        <v/>
      </c>
      <c r="L8" s="18">
        <f>IF(填写首页!L43="","",填写首页!L43)</f>
        <v/>
      </c>
      <c r="M8" s="18">
        <f>IF(填写首页!M43="","",填写首页!M43)</f>
        <v/>
      </c>
      <c r="N8" s="18">
        <f>IF(填写首页!N43="","",填写首页!N43)</f>
        <v/>
      </c>
      <c r="O8" s="18">
        <f>IF(填写首页!O43="","",填写首页!O43)</f>
        <v/>
      </c>
      <c r="P8" s="19">
        <f>IF(填写首页!P43="","",填写首页!P43)</f>
        <v/>
      </c>
      <c r="Q8" s="19">
        <f>IF(填写首页!Q43="","",填写首页!Q43)</f>
        <v/>
      </c>
      <c r="R8" s="19">
        <f>IF(填写首页!R43="","",填写首页!R43)</f>
        <v/>
      </c>
      <c r="S8" s="20">
        <f>IF(填写首页!S43="","",填写首页!S43)</f>
        <v/>
      </c>
      <c r="T8" s="20">
        <f>填写首页!F16</f>
        <v/>
      </c>
      <c r="U8" s="20">
        <f>IF(填写首页!U43="","",填写首页!U43)</f>
        <v/>
      </c>
      <c r="V8" s="20">
        <f>IFERROR(C8*N8,0)</f>
        <v/>
      </c>
      <c r="W8" s="20">
        <f>IFERROR(C8*O8,0)</f>
        <v/>
      </c>
      <c r="X8" s="20">
        <f>IF(OR(T8="尼日利亚工厂配套后出货",T8="中国配件发尼厂后配套",T8="尼日利亚本地采购配套"),1,0)</f>
        <v/>
      </c>
      <c r="Y8" s="20">
        <f>IF(T8="中国配件直发客户",1,0)</f>
        <v/>
      </c>
      <c r="Z8" s="20">
        <f>IF(B8&lt;&gt;"",1,0)</f>
        <v/>
      </c>
      <c r="AA8" s="20">
        <f>IF(B8="toilet bowl/pan马桶",1,0)</f>
        <v/>
      </c>
      <c r="AB8" s="20">
        <f>IF(AND(T8="中国配件发尼厂后配套",填写首页!$E$16&lt;&gt;"到尼厂入库成本"),1,0)</f>
        <v/>
      </c>
    </row>
    <row r="9">
      <c r="A9" s="20">
        <f>填写首页!A17</f>
        <v/>
      </c>
      <c r="B9" s="20">
        <f>填写首页!B17</f>
        <v/>
      </c>
      <c r="C9" s="18">
        <f>IF(填写首页!C44="","",填写首页!C44)</f>
        <v/>
      </c>
      <c r="D9" s="18">
        <f>IF(填写首页!D44="","",填写首页!D44)</f>
        <v/>
      </c>
      <c r="E9" s="18">
        <f>IF(填写首页!E44="","",填写首页!E44)</f>
        <v/>
      </c>
      <c r="F9" s="18">
        <f>IF(填写首页!F44="","",填写首页!F44)</f>
        <v/>
      </c>
      <c r="G9" s="18">
        <f>IF(填写首页!G44="","",填写首页!G44)</f>
        <v/>
      </c>
      <c r="H9" s="18">
        <f>IF(填写首页!H44="","",填写首页!H44)</f>
        <v/>
      </c>
      <c r="I9" s="18">
        <f>IF(填写首页!I44="","",填写首页!I44)</f>
        <v/>
      </c>
      <c r="J9" s="18">
        <f>IF(填写首页!J44="","",填写首页!J44)</f>
        <v/>
      </c>
      <c r="K9" s="18">
        <f>IF(填写首页!K44="","",填写首页!K44)</f>
        <v/>
      </c>
      <c r="L9" s="18">
        <f>IF(填写首页!L44="","",填写首页!L44)</f>
        <v/>
      </c>
      <c r="M9" s="18">
        <f>IF(填写首页!M44="","",填写首页!M44)</f>
        <v/>
      </c>
      <c r="N9" s="18">
        <f>IF(填写首页!N44="","",填写首页!N44)</f>
        <v/>
      </c>
      <c r="O9" s="18">
        <f>IF(填写首页!O44="","",填写首页!O44)</f>
        <v/>
      </c>
      <c r="P9" s="19">
        <f>IF(填写首页!P44="","",填写首页!P44)</f>
        <v/>
      </c>
      <c r="Q9" s="19">
        <f>IF(填写首页!Q44="","",填写首页!Q44)</f>
        <v/>
      </c>
      <c r="R9" s="19">
        <f>IF(填写首页!R44="","",填写首页!R44)</f>
        <v/>
      </c>
      <c r="S9" s="20">
        <f>IF(填写首页!S44="","",填写首页!S44)</f>
        <v/>
      </c>
      <c r="T9" s="20">
        <f>填写首页!F17</f>
        <v/>
      </c>
      <c r="U9" s="20">
        <f>IF(填写首页!U44="","",填写首页!U44)</f>
        <v/>
      </c>
      <c r="V9" s="20">
        <f>IFERROR(C9*N9,0)</f>
        <v/>
      </c>
      <c r="W9" s="20">
        <f>IFERROR(C9*O9,0)</f>
        <v/>
      </c>
      <c r="X9" s="20">
        <f>IF(OR(T9="尼日利亚工厂配套后出货",T9="中国配件发尼厂后配套",T9="尼日利亚本地采购配套"),1,0)</f>
        <v/>
      </c>
      <c r="Y9" s="20">
        <f>IF(T9="中国配件直发客户",1,0)</f>
        <v/>
      </c>
      <c r="Z9" s="20">
        <f>IF(B9&lt;&gt;"",1,0)</f>
        <v/>
      </c>
      <c r="AA9" s="20">
        <f>IF(B9="toilet bowl/pan马桶",1,0)</f>
        <v/>
      </c>
      <c r="AB9" s="20">
        <f>IF(AND(T9="中国配件发尼厂后配套",填写首页!$E$17&lt;&gt;"到尼厂入库成本"),1,0)</f>
        <v/>
      </c>
    </row>
    <row r="10">
      <c r="A10" s="20">
        <f>填写首页!A18</f>
        <v/>
      </c>
      <c r="B10" s="20">
        <f>填写首页!B18</f>
        <v/>
      </c>
      <c r="C10" s="18">
        <f>IF(填写首页!C45="","",填写首页!C45)</f>
        <v/>
      </c>
      <c r="D10" s="18">
        <f>IF(填写首页!D45="","",填写首页!D45)</f>
        <v/>
      </c>
      <c r="E10" s="18">
        <f>IF(填写首页!E45="","",填写首页!E45)</f>
        <v/>
      </c>
      <c r="F10" s="18">
        <f>IF(填写首页!F45="","",填写首页!F45)</f>
        <v/>
      </c>
      <c r="G10" s="18">
        <f>IF(填写首页!G45="","",填写首页!G45)</f>
        <v/>
      </c>
      <c r="H10" s="18">
        <f>IF(填写首页!H45="","",填写首页!H45)</f>
        <v/>
      </c>
      <c r="I10" s="18">
        <f>IF(填写首页!I45="","",填写首页!I45)</f>
        <v/>
      </c>
      <c r="J10" s="18">
        <f>IF(填写首页!J45="","",填写首页!J45)</f>
        <v/>
      </c>
      <c r="K10" s="18">
        <f>IF(填写首页!K45="","",填写首页!K45)</f>
        <v/>
      </c>
      <c r="L10" s="18">
        <f>IF(填写首页!L45="","",填写首页!L45)</f>
        <v/>
      </c>
      <c r="M10" s="18">
        <f>IF(填写首页!M45="","",填写首页!M45)</f>
        <v/>
      </c>
      <c r="N10" s="18">
        <f>IF(填写首页!N45="","",填写首页!N45)</f>
        <v/>
      </c>
      <c r="O10" s="18">
        <f>IF(填写首页!O45="","",填写首页!O45)</f>
        <v/>
      </c>
      <c r="P10" s="19">
        <f>IF(填写首页!P45="","",填写首页!P45)</f>
        <v/>
      </c>
      <c r="Q10" s="19">
        <f>IF(填写首页!Q45="","",填写首页!Q45)</f>
        <v/>
      </c>
      <c r="R10" s="19">
        <f>IF(填写首页!R45="","",填写首页!R45)</f>
        <v/>
      </c>
      <c r="S10" s="20">
        <f>IF(填写首页!S45="","",填写首页!S45)</f>
        <v/>
      </c>
      <c r="T10" s="20">
        <f>填写首页!F18</f>
        <v/>
      </c>
      <c r="U10" s="20">
        <f>IF(填写首页!U45="","",填写首页!U45)</f>
        <v/>
      </c>
      <c r="V10" s="20">
        <f>IFERROR(C10*N10,0)</f>
        <v/>
      </c>
      <c r="W10" s="20">
        <f>IFERROR(C10*O10,0)</f>
        <v/>
      </c>
      <c r="X10" s="20">
        <f>IF(OR(T10="尼日利亚工厂配套后出货",T10="中国配件发尼厂后配套",T10="尼日利亚本地采购配套"),1,0)</f>
        <v/>
      </c>
      <c r="Y10" s="20">
        <f>IF(T10="中国配件直发客户",1,0)</f>
        <v/>
      </c>
      <c r="Z10" s="20">
        <f>IF(B10&lt;&gt;"",1,0)</f>
        <v/>
      </c>
      <c r="AA10" s="20">
        <f>IF(B10="toilet bowl/pan马桶",1,0)</f>
        <v/>
      </c>
      <c r="AB10" s="20">
        <f>IF(AND(T10="中国配件发尼厂后配套",填写首页!$E$18&lt;&gt;"到尼厂入库成本"),1,0)</f>
        <v/>
      </c>
    </row>
    <row r="11">
      <c r="A11" s="20">
        <f>填写首页!A19</f>
        <v/>
      </c>
      <c r="B11" s="20">
        <f>填写首页!B19</f>
        <v/>
      </c>
      <c r="C11" s="18">
        <f>IF(填写首页!C46="","",填写首页!C46)</f>
        <v/>
      </c>
      <c r="D11" s="18">
        <f>IF(填写首页!D46="","",填写首页!D46)</f>
        <v/>
      </c>
      <c r="E11" s="18">
        <f>IF(填写首页!E46="","",填写首页!E46)</f>
        <v/>
      </c>
      <c r="F11" s="18">
        <f>IF(填写首页!F46="","",填写首页!F46)</f>
        <v/>
      </c>
      <c r="G11" s="18">
        <f>IF(填写首页!G46="","",填写首页!G46)</f>
        <v/>
      </c>
      <c r="H11" s="18">
        <f>IF(填写首页!H46="","",填写首页!H46)</f>
        <v/>
      </c>
      <c r="I11" s="18">
        <f>IF(填写首页!I46="","",填写首页!I46)</f>
        <v/>
      </c>
      <c r="J11" s="18">
        <f>IF(填写首页!J46="","",填写首页!J46)</f>
        <v/>
      </c>
      <c r="K11" s="18">
        <f>IF(填写首页!K46="","",填写首页!K46)</f>
        <v/>
      </c>
      <c r="L11" s="18">
        <f>IF(填写首页!L46="","",填写首页!L46)</f>
        <v/>
      </c>
      <c r="M11" s="18">
        <f>IF(填写首页!M46="","",填写首页!M46)</f>
        <v/>
      </c>
      <c r="N11" s="18">
        <f>IF(填写首页!N46="","",填写首页!N46)</f>
        <v/>
      </c>
      <c r="O11" s="18">
        <f>IF(填写首页!O46="","",填写首页!O46)</f>
        <v/>
      </c>
      <c r="P11" s="19">
        <f>IF(填写首页!P46="","",填写首页!P46)</f>
        <v/>
      </c>
      <c r="Q11" s="19">
        <f>IF(填写首页!Q46="","",填写首页!Q46)</f>
        <v/>
      </c>
      <c r="R11" s="19">
        <f>IF(填写首页!R46="","",填写首页!R46)</f>
        <v/>
      </c>
      <c r="S11" s="20">
        <f>IF(填写首页!S46="","",填写首页!S46)</f>
        <v/>
      </c>
      <c r="T11" s="20">
        <f>填写首页!F19</f>
        <v/>
      </c>
      <c r="U11" s="20">
        <f>IF(填写首页!U46="","",填写首页!U46)</f>
        <v/>
      </c>
      <c r="V11" s="20">
        <f>IFERROR(C11*N11,0)</f>
        <v/>
      </c>
      <c r="W11" s="20">
        <f>IFERROR(C11*O11,0)</f>
        <v/>
      </c>
      <c r="X11" s="20">
        <f>IF(OR(T11="尼日利亚工厂配套后出货",T11="中国配件发尼厂后配套",T11="尼日利亚本地采购配套"),1,0)</f>
        <v/>
      </c>
      <c r="Y11" s="20">
        <f>IF(T11="中国配件直发客户",1,0)</f>
        <v/>
      </c>
      <c r="Z11" s="20">
        <f>IF(B11&lt;&gt;"",1,0)</f>
        <v/>
      </c>
      <c r="AA11" s="20">
        <f>IF(B11="toilet bowl/pan马桶",1,0)</f>
        <v/>
      </c>
      <c r="AB11" s="20">
        <f>IF(AND(T11="中国配件发尼厂后配套",填写首页!$E$19&lt;&gt;"到尼厂入库成本"),1,0)</f>
        <v/>
      </c>
    </row>
    <row r="12">
      <c r="A12" s="20">
        <f>填写首页!A20</f>
        <v/>
      </c>
      <c r="B12" s="20">
        <f>填写首页!B20</f>
        <v/>
      </c>
      <c r="C12" s="18">
        <f>IF(填写首页!C47="","",填写首页!C47)</f>
        <v/>
      </c>
      <c r="D12" s="18">
        <f>IF(填写首页!D47="","",填写首页!D47)</f>
        <v/>
      </c>
      <c r="E12" s="18">
        <f>IF(填写首页!E47="","",填写首页!E47)</f>
        <v/>
      </c>
      <c r="F12" s="18">
        <f>IF(填写首页!F47="","",填写首页!F47)</f>
        <v/>
      </c>
      <c r="G12" s="18">
        <f>IF(填写首页!G47="","",填写首页!G47)</f>
        <v/>
      </c>
      <c r="H12" s="18">
        <f>IF(填写首页!H47="","",填写首页!H47)</f>
        <v/>
      </c>
      <c r="I12" s="18">
        <f>IF(填写首页!I47="","",填写首页!I47)</f>
        <v/>
      </c>
      <c r="J12" s="18">
        <f>IF(填写首页!J47="","",填写首页!J47)</f>
        <v/>
      </c>
      <c r="K12" s="18">
        <f>IF(填写首页!K47="","",填写首页!K47)</f>
        <v/>
      </c>
      <c r="L12" s="18">
        <f>IF(填写首页!L47="","",填写首页!L47)</f>
        <v/>
      </c>
      <c r="M12" s="18">
        <f>IF(填写首页!M47="","",填写首页!M47)</f>
        <v/>
      </c>
      <c r="N12" s="18">
        <f>IF(填写首页!N47="","",填写首页!N47)</f>
        <v/>
      </c>
      <c r="O12" s="18">
        <f>IF(填写首页!O47="","",填写首页!O47)</f>
        <v/>
      </c>
      <c r="P12" s="19">
        <f>IF(填写首页!P47="","",填写首页!P47)</f>
        <v/>
      </c>
      <c r="Q12" s="19">
        <f>IF(填写首页!Q47="","",填写首页!Q47)</f>
        <v/>
      </c>
      <c r="R12" s="19">
        <f>IF(填写首页!R47="","",填写首页!R47)</f>
        <v/>
      </c>
      <c r="S12" s="20">
        <f>IF(填写首页!S47="","",填写首页!S47)</f>
        <v/>
      </c>
      <c r="T12" s="20">
        <f>填写首页!F20</f>
        <v/>
      </c>
      <c r="U12" s="20">
        <f>IF(填写首页!U47="","",填写首页!U47)</f>
        <v/>
      </c>
      <c r="V12" s="20">
        <f>IFERROR(C12*N12,0)</f>
        <v/>
      </c>
      <c r="W12" s="20">
        <f>IFERROR(C12*O12,0)</f>
        <v/>
      </c>
      <c r="X12" s="20">
        <f>IF(OR(T12="尼日利亚工厂配套后出货",T12="中国配件发尼厂后配套",T12="尼日利亚本地采购配套"),1,0)</f>
        <v/>
      </c>
      <c r="Y12" s="20">
        <f>IF(T12="中国配件直发客户",1,0)</f>
        <v/>
      </c>
      <c r="Z12" s="20">
        <f>IF(B12&lt;&gt;"",1,0)</f>
        <v/>
      </c>
      <c r="AA12" s="20">
        <f>IF(B12="toilet bowl/pan马桶",1,0)</f>
        <v/>
      </c>
      <c r="AB12" s="20">
        <f>IF(AND(T12="中国配件发尼厂后配套",填写首页!$E$20&lt;&gt;"到尼厂入库成本"),1,0)</f>
        <v/>
      </c>
    </row>
    <row r="13">
      <c r="A13" s="20">
        <f>填写首页!A21</f>
        <v/>
      </c>
      <c r="B13" s="20">
        <f>填写首页!B21</f>
        <v/>
      </c>
      <c r="C13" s="18">
        <f>IF(填写首页!C48="","",填写首页!C48)</f>
        <v/>
      </c>
      <c r="D13" s="18">
        <f>IF(填写首页!D48="","",填写首页!D48)</f>
        <v/>
      </c>
      <c r="E13" s="18">
        <f>IF(填写首页!E48="","",填写首页!E48)</f>
        <v/>
      </c>
      <c r="F13" s="18">
        <f>IF(填写首页!F48="","",填写首页!F48)</f>
        <v/>
      </c>
      <c r="G13" s="18">
        <f>IF(填写首页!G48="","",填写首页!G48)</f>
        <v/>
      </c>
      <c r="H13" s="18">
        <f>IF(填写首页!H48="","",填写首页!H48)</f>
        <v/>
      </c>
      <c r="I13" s="18">
        <f>IF(填写首页!I48="","",填写首页!I48)</f>
        <v/>
      </c>
      <c r="J13" s="18">
        <f>IF(填写首页!J48="","",填写首页!J48)</f>
        <v/>
      </c>
      <c r="K13" s="18">
        <f>IF(填写首页!K48="","",填写首页!K48)</f>
        <v/>
      </c>
      <c r="L13" s="18">
        <f>IF(填写首页!L48="","",填写首页!L48)</f>
        <v/>
      </c>
      <c r="M13" s="18">
        <f>IF(填写首页!M48="","",填写首页!M48)</f>
        <v/>
      </c>
      <c r="N13" s="18">
        <f>IF(填写首页!N48="","",填写首页!N48)</f>
        <v/>
      </c>
      <c r="O13" s="18">
        <f>IF(填写首页!O48="","",填写首页!O48)</f>
        <v/>
      </c>
      <c r="P13" s="19">
        <f>IF(填写首页!P48="","",填写首页!P48)</f>
        <v/>
      </c>
      <c r="Q13" s="19">
        <f>IF(填写首页!Q48="","",填写首页!Q48)</f>
        <v/>
      </c>
      <c r="R13" s="19">
        <f>IF(填写首页!R48="","",填写首页!R48)</f>
        <v/>
      </c>
      <c r="S13" s="20">
        <f>IF(填写首页!S48="","",填写首页!S48)</f>
        <v/>
      </c>
      <c r="T13" s="20">
        <f>填写首页!F21</f>
        <v/>
      </c>
      <c r="U13" s="20">
        <f>IF(填写首页!U48="","",填写首页!U48)</f>
        <v/>
      </c>
      <c r="V13" s="20">
        <f>IFERROR(C13*N13,0)</f>
        <v/>
      </c>
      <c r="W13" s="20">
        <f>IFERROR(C13*O13,0)</f>
        <v/>
      </c>
      <c r="X13" s="20">
        <f>IF(OR(T13="尼日利亚工厂配套后出货",T13="中国配件发尼厂后配套",T13="尼日利亚本地采购配套"),1,0)</f>
        <v/>
      </c>
      <c r="Y13" s="20">
        <f>IF(T13="中国配件直发客户",1,0)</f>
        <v/>
      </c>
      <c r="Z13" s="20">
        <f>IF(B13&lt;&gt;"",1,0)</f>
        <v/>
      </c>
      <c r="AA13" s="20">
        <f>IF(B13="toilet bowl/pan马桶",1,0)</f>
        <v/>
      </c>
      <c r="AB13" s="20">
        <f>IF(AND(T13="中国配件发尼厂后配套",填写首页!$E$21&lt;&gt;"到尼厂入库成本"),1,0)</f>
        <v/>
      </c>
    </row>
    <row r="14">
      <c r="A14" s="20">
        <f>填写首页!A22</f>
        <v/>
      </c>
      <c r="B14" s="20">
        <f>填写首页!B22</f>
        <v/>
      </c>
      <c r="C14" s="18">
        <f>IF(填写首页!C49="","",填写首页!C49)</f>
        <v/>
      </c>
      <c r="D14" s="18">
        <f>IF(填写首页!D49="","",填写首页!D49)</f>
        <v/>
      </c>
      <c r="E14" s="18">
        <f>IF(填写首页!E49="","",填写首页!E49)</f>
        <v/>
      </c>
      <c r="F14" s="18">
        <f>IF(填写首页!F49="","",填写首页!F49)</f>
        <v/>
      </c>
      <c r="G14" s="18">
        <f>IF(填写首页!G49="","",填写首页!G49)</f>
        <v/>
      </c>
      <c r="H14" s="18">
        <f>IF(填写首页!H49="","",填写首页!H49)</f>
        <v/>
      </c>
      <c r="I14" s="18">
        <f>IF(填写首页!I49="","",填写首页!I49)</f>
        <v/>
      </c>
      <c r="J14" s="18">
        <f>IF(填写首页!J49="","",填写首页!J49)</f>
        <v/>
      </c>
      <c r="K14" s="18">
        <f>IF(填写首页!K49="","",填写首页!K49)</f>
        <v/>
      </c>
      <c r="L14" s="18">
        <f>IF(填写首页!L49="","",填写首页!L49)</f>
        <v/>
      </c>
      <c r="M14" s="18">
        <f>IF(填写首页!M49="","",填写首页!M49)</f>
        <v/>
      </c>
      <c r="N14" s="18">
        <f>IF(填写首页!N49="","",填写首页!N49)</f>
        <v/>
      </c>
      <c r="O14" s="18">
        <f>IF(填写首页!O49="","",填写首页!O49)</f>
        <v/>
      </c>
      <c r="P14" s="19">
        <f>IF(填写首页!P49="","",填写首页!P49)</f>
        <v/>
      </c>
      <c r="Q14" s="19">
        <f>IF(填写首页!Q49="","",填写首页!Q49)</f>
        <v/>
      </c>
      <c r="R14" s="19">
        <f>IF(填写首页!R49="","",填写首页!R49)</f>
        <v/>
      </c>
      <c r="S14" s="20">
        <f>IF(填写首页!S49="","",填写首页!S49)</f>
        <v/>
      </c>
      <c r="T14" s="20">
        <f>填写首页!F22</f>
        <v/>
      </c>
      <c r="U14" s="20">
        <f>IF(填写首页!U49="","",填写首页!U49)</f>
        <v/>
      </c>
      <c r="V14" s="20">
        <f>IFERROR(C14*N14,0)</f>
        <v/>
      </c>
      <c r="W14" s="20">
        <f>IFERROR(C14*O14,0)</f>
        <v/>
      </c>
      <c r="X14" s="20">
        <f>IF(OR(T14="尼日利亚工厂配套后出货",T14="中国配件发尼厂后配套",T14="尼日利亚本地采购配套"),1,0)</f>
        <v/>
      </c>
      <c r="Y14" s="20">
        <f>IF(T14="中国配件直发客户",1,0)</f>
        <v/>
      </c>
      <c r="Z14" s="20">
        <f>IF(B14&lt;&gt;"",1,0)</f>
        <v/>
      </c>
      <c r="AA14" s="20">
        <f>IF(B14="toilet bowl/pan马桶",1,0)</f>
        <v/>
      </c>
      <c r="AB14" s="20">
        <f>IF(AND(T14="中国配件发尼厂后配套",填写首页!$E$22&lt;&gt;"到尼厂入库成本"),1,0)</f>
        <v/>
      </c>
    </row>
    <row r="15">
      <c r="A15" s="20">
        <f>填写首页!A23</f>
        <v/>
      </c>
      <c r="B15" s="20">
        <f>填写首页!B23</f>
        <v/>
      </c>
      <c r="C15" s="18">
        <f>IF(填写首页!C50="","",填写首页!C50)</f>
        <v/>
      </c>
      <c r="D15" s="18">
        <f>IF(填写首页!D50="","",填写首页!D50)</f>
        <v/>
      </c>
      <c r="E15" s="18">
        <f>IF(填写首页!E50="","",填写首页!E50)</f>
        <v/>
      </c>
      <c r="F15" s="18">
        <f>IF(填写首页!F50="","",填写首页!F50)</f>
        <v/>
      </c>
      <c r="G15" s="18">
        <f>IF(填写首页!G50="","",填写首页!G50)</f>
        <v/>
      </c>
      <c r="H15" s="18">
        <f>IF(填写首页!H50="","",填写首页!H50)</f>
        <v/>
      </c>
      <c r="I15" s="18">
        <f>IF(填写首页!I50="","",填写首页!I50)</f>
        <v/>
      </c>
      <c r="J15" s="18">
        <f>IF(填写首页!J50="","",填写首页!J50)</f>
        <v/>
      </c>
      <c r="K15" s="18">
        <f>IF(填写首页!K50="","",填写首页!K50)</f>
        <v/>
      </c>
      <c r="L15" s="18">
        <f>IF(填写首页!L50="","",填写首页!L50)</f>
        <v/>
      </c>
      <c r="M15" s="18">
        <f>IF(填写首页!M50="","",填写首页!M50)</f>
        <v/>
      </c>
      <c r="N15" s="18">
        <f>IF(填写首页!N50="","",填写首页!N50)</f>
        <v/>
      </c>
      <c r="O15" s="18">
        <f>IF(填写首页!O50="","",填写首页!O50)</f>
        <v/>
      </c>
      <c r="P15" s="19">
        <f>IF(填写首页!P50="","",填写首页!P50)</f>
        <v/>
      </c>
      <c r="Q15" s="19">
        <f>IF(填写首页!Q50="","",填写首页!Q50)</f>
        <v/>
      </c>
      <c r="R15" s="19">
        <f>IF(填写首页!R50="","",填写首页!R50)</f>
        <v/>
      </c>
      <c r="S15" s="20">
        <f>IF(填写首页!S50="","",填写首页!S50)</f>
        <v/>
      </c>
      <c r="T15" s="20">
        <f>填写首页!F23</f>
        <v/>
      </c>
      <c r="U15" s="20">
        <f>IF(填写首页!U50="","",填写首页!U50)</f>
        <v/>
      </c>
      <c r="V15" s="20">
        <f>IFERROR(C15*N15,0)</f>
        <v/>
      </c>
      <c r="W15" s="20">
        <f>IFERROR(C15*O15,0)</f>
        <v/>
      </c>
      <c r="X15" s="20">
        <f>IF(OR(T15="尼日利亚工厂配套后出货",T15="中国配件发尼厂后配套",T15="尼日利亚本地采购配套"),1,0)</f>
        <v/>
      </c>
      <c r="Y15" s="20">
        <f>IF(T15="中国配件直发客户",1,0)</f>
        <v/>
      </c>
      <c r="Z15" s="20">
        <f>IF(B15&lt;&gt;"",1,0)</f>
        <v/>
      </c>
      <c r="AA15" s="20">
        <f>IF(B15="toilet bowl/pan马桶",1,0)</f>
        <v/>
      </c>
      <c r="AB15" s="20">
        <f>IF(AND(T15="中国配件发尼厂后配套",填写首页!$E$23&lt;&gt;"到尼厂入库成本"),1,0)</f>
        <v/>
      </c>
    </row>
    <row r="16">
      <c r="A16" s="20">
        <f>填写首页!A24</f>
        <v/>
      </c>
      <c r="B16" s="20">
        <f>填写首页!B24</f>
        <v/>
      </c>
      <c r="C16" s="18">
        <f>IF(填写首页!C51="","",填写首页!C51)</f>
        <v/>
      </c>
      <c r="D16" s="18">
        <f>IF(填写首页!D51="","",填写首页!D51)</f>
        <v/>
      </c>
      <c r="E16" s="18">
        <f>IF(填写首页!E51="","",填写首页!E51)</f>
        <v/>
      </c>
      <c r="F16" s="18">
        <f>IF(填写首页!F51="","",填写首页!F51)</f>
        <v/>
      </c>
      <c r="G16" s="18">
        <f>IF(填写首页!G51="","",填写首页!G51)</f>
        <v/>
      </c>
      <c r="H16" s="18">
        <f>IF(填写首页!H51="","",填写首页!H51)</f>
        <v/>
      </c>
      <c r="I16" s="18">
        <f>IF(填写首页!I51="","",填写首页!I51)</f>
        <v/>
      </c>
      <c r="J16" s="18">
        <f>IF(填写首页!J51="","",填写首页!J51)</f>
        <v/>
      </c>
      <c r="K16" s="18">
        <f>IF(填写首页!K51="","",填写首页!K51)</f>
        <v/>
      </c>
      <c r="L16" s="18">
        <f>IF(填写首页!L51="","",填写首页!L51)</f>
        <v/>
      </c>
      <c r="M16" s="18">
        <f>IF(填写首页!M51="","",填写首页!M51)</f>
        <v/>
      </c>
      <c r="N16" s="18">
        <f>IF(填写首页!N51="","",填写首页!N51)</f>
        <v/>
      </c>
      <c r="O16" s="18">
        <f>IF(填写首页!O51="","",填写首页!O51)</f>
        <v/>
      </c>
      <c r="P16" s="19">
        <f>IF(填写首页!P51="","",填写首页!P51)</f>
        <v/>
      </c>
      <c r="Q16" s="19">
        <f>IF(填写首页!Q51="","",填写首页!Q51)</f>
        <v/>
      </c>
      <c r="R16" s="19">
        <f>IF(填写首页!R51="","",填写首页!R51)</f>
        <v/>
      </c>
      <c r="S16" s="20">
        <f>IF(填写首页!S51="","",填写首页!S51)</f>
        <v/>
      </c>
      <c r="T16" s="20">
        <f>填写首页!F24</f>
        <v/>
      </c>
      <c r="U16" s="20">
        <f>IF(填写首页!U51="","",填写首页!U51)</f>
        <v/>
      </c>
      <c r="V16" s="20">
        <f>IFERROR(C16*N16,0)</f>
        <v/>
      </c>
      <c r="W16" s="20">
        <f>IFERROR(C16*O16,0)</f>
        <v/>
      </c>
      <c r="X16" s="20">
        <f>IF(OR(T16="尼日利亚工厂配套后出货",T16="中国配件发尼厂后配套",T16="尼日利亚本地采购配套"),1,0)</f>
        <v/>
      </c>
      <c r="Y16" s="20">
        <f>IF(T16="中国配件直发客户",1,0)</f>
        <v/>
      </c>
      <c r="Z16" s="20">
        <f>IF(B16&lt;&gt;"",1,0)</f>
        <v/>
      </c>
      <c r="AA16" s="20">
        <f>IF(B16="toilet bowl/pan马桶",1,0)</f>
        <v/>
      </c>
      <c r="AB16" s="20">
        <f>IF(AND(T16="中国配件发尼厂后配套",填写首页!$E$24&lt;&gt;"到尼厂入库成本"),1,0)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E0"/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44" customWidth="1" min="10" max="10"/>
  </cols>
  <sheetData>
    <row r="1">
      <c r="A1" s="1" t="inlineStr">
        <is>
          <t>装柜测算</t>
        </is>
      </c>
    </row>
    <row r="2">
      <c r="A2" s="2" t="inlineStr">
        <is>
          <t>按首页产品与包装信息估算：先算单项体积/重量限制，再按供应链路径组合成每套CBM和每套毛重，估算整柜可装套数。</t>
        </is>
      </c>
    </row>
    <row r="3">
      <c r="A3" s="22" t="inlineStr">
        <is>
          <t>柜型</t>
        </is>
      </c>
      <c r="B3" s="23" t="inlineStr">
        <is>
          <t>40HQ</t>
        </is>
      </c>
    </row>
    <row r="4">
      <c r="A4" s="22" t="inlineStr">
        <is>
          <t>有效容积CBM</t>
        </is>
      </c>
      <c r="B4" s="23" t="n">
        <v>66</v>
      </c>
    </row>
    <row r="5">
      <c r="A5" s="22" t="inlineStr">
        <is>
          <t>限重KG</t>
        </is>
      </c>
      <c r="B5" s="23" t="n">
        <v>26500</v>
      </c>
    </row>
    <row r="6">
      <c r="A6" s="22" t="inlineStr">
        <is>
          <t>装载效率</t>
        </is>
      </c>
      <c r="B6" s="24" t="n">
        <v>0.92</v>
      </c>
    </row>
    <row r="7">
      <c r="A7" s="22" t="inlineStr">
        <is>
          <t>安全重量余量KG</t>
        </is>
      </c>
      <c r="B7" s="23" t="n">
        <v>1000</v>
      </c>
    </row>
    <row r="8"/>
    <row r="9"/>
    <row r="10">
      <c r="A10" s="14" t="inlineStr">
        <is>
          <t>组合场景</t>
        </is>
      </c>
      <c r="B10" s="14" t="inlineStr">
        <is>
          <t>每套CBM</t>
        </is>
      </c>
      <c r="C10" s="14" t="inlineStr">
        <is>
          <t>每套毛重KG</t>
        </is>
      </c>
      <c r="D10" s="14" t="inlineStr">
        <is>
          <t>体积可装套数</t>
        </is>
      </c>
      <c r="E10" s="14" t="inlineStr">
        <is>
          <t>重量可装套数</t>
        </is>
      </c>
      <c r="F10" s="14" t="inlineStr">
        <is>
          <t>建议装柜套数</t>
        </is>
      </c>
      <c r="G10" s="14" t="inlineStr">
        <is>
          <t>限制因素</t>
        </is>
      </c>
      <c r="H10" s="14" t="inlineStr">
        <is>
          <t>订单套数</t>
        </is>
      </c>
      <c r="I10" s="14" t="inlineStr">
        <is>
          <t>预计柜数</t>
        </is>
      </c>
      <c r="J10" s="14" t="inlineStr">
        <is>
          <t>说明</t>
        </is>
      </c>
    </row>
    <row r="11">
      <c r="A11" s="15" t="inlineStr">
        <is>
          <t>尼日利亚整套出货组合</t>
        </is>
      </c>
      <c r="B11" s="25">
        <f>SUMIFS(产品包装信息!$V$5:$V$16,产品包装信息!$X$5:$X$16,1)</f>
        <v/>
      </c>
      <c r="C11" s="25">
        <f>SUMIFS(产品包装信息!$W$5:$W$16,产品包装信息!$X$5:$X$16,1)</f>
        <v/>
      </c>
      <c r="D11" s="25">
        <f>IF(B11=0,"",ROUNDDOWN($B$4*$B$6/MAX(B11,0.0001),0))</f>
        <v/>
      </c>
      <c r="E11" s="25">
        <f>IF(C11=0,"",ROUNDDOWN(MAX(0,$B$5-$B$7)/MAX(C11,0.0001),0))</f>
        <v/>
      </c>
      <c r="F11" s="26">
        <f>IF(OR(D11="",E11=""),"",MIN(D11,E11))</f>
        <v/>
      </c>
      <c r="G11" s="15">
        <f>IF(F11="","",IF(D11&lt;E11,"体积限制",IF(E11&lt;D11,"重量限制","体积/重量接近")))</f>
        <v/>
      </c>
      <c r="H11" s="26">
        <f>填写首页!$D$5</f>
        <v/>
      </c>
      <c r="I11" s="26">
        <f>IF(F11="","",ROUNDUP(H11/MAX(F11,1),0))</f>
        <v/>
      </c>
      <c r="J11" s="15" t="inlineStr">
        <is>
          <t>陶瓷、发尼厂后配套配件、本地采购配套一起按尼日利亚整套出货估算。</t>
        </is>
      </c>
    </row>
    <row r="12">
      <c r="A12" s="15" t="inlineStr">
        <is>
          <t>中国配件直发组合</t>
        </is>
      </c>
      <c r="B12" s="25">
        <f>SUMIFS(产品包装信息!$V$5:$V$16,产品包装信息!$Y$5:$Y$16,1)</f>
        <v/>
      </c>
      <c r="C12" s="25">
        <f>SUMIFS(产品包装信息!$W$5:$W$16,产品包装信息!$Y$5:$Y$16,1)</f>
        <v/>
      </c>
      <c r="D12" s="25">
        <f>IF(B12=0,"",ROUNDDOWN($B$4*$B$6/MAX(B12,0.0001),0))</f>
        <v/>
      </c>
      <c r="E12" s="25">
        <f>IF(C12=0,"",ROUNDDOWN(MAX(0,$B$5-$B$7)/MAX(C12,0.0001),0))</f>
        <v/>
      </c>
      <c r="F12" s="26">
        <f>IF(OR(D12="",E12=""),"",MIN(D12,E12))</f>
        <v/>
      </c>
      <c r="G12" s="15">
        <f>IF(F12="","",IF(D12&lt;E12,"体积限制",IF(E12&lt;D12,"重量限制","体积/重量接近")))</f>
        <v/>
      </c>
      <c r="H12" s="26">
        <f>填写首页!$D$5</f>
        <v/>
      </c>
      <c r="I12" s="26">
        <f>IF(F12="","",ROUNDUP(H12/MAX(F12,1),0))</f>
        <v/>
      </c>
      <c r="J12" s="15" t="inlineStr">
        <is>
          <t>只估算中国直发客户的配件组合，不混入尼日利亚整套出货。</t>
        </is>
      </c>
    </row>
    <row r="13">
      <c r="A13" s="15" t="inlineStr">
        <is>
          <t>全部实物理论同柜</t>
        </is>
      </c>
      <c r="B13" s="25">
        <f>SUMIFS(产品包装信息!$V$5:$V$16,产品包装信息!$Z$5:$Z$16,1)</f>
        <v/>
      </c>
      <c r="C13" s="25">
        <f>SUMIFS(产品包装信息!$W$5:$W$16,产品包装信息!$Z$5:$Z$16,1)</f>
        <v/>
      </c>
      <c r="D13" s="25">
        <f>IF(B13=0,"",ROUNDDOWN($B$4*$B$6/MAX(B13,0.0001),0))</f>
        <v/>
      </c>
      <c r="E13" s="25">
        <f>IF(C13=0,"",ROUNDDOWN(MAX(0,$B$5-$B$7)/MAX(C13,0.0001),0))</f>
        <v/>
      </c>
      <c r="F13" s="26">
        <f>IF(OR(D13="",E13=""),"",MIN(D13,E13))</f>
        <v/>
      </c>
      <c r="G13" s="15">
        <f>IF(F13="","",IF(D13&lt;E13,"体积限制",IF(E13&lt;D13,"重量限制","体积/重量接近")))</f>
        <v/>
      </c>
      <c r="H13" s="26">
        <f>填写首页!$D$5</f>
        <v/>
      </c>
      <c r="I13" s="26">
        <f>IF(F13="","",ROUNDUP(H13/MAX(F13,1),0))</f>
        <v/>
      </c>
      <c r="J13" s="15" t="inlineStr">
        <is>
          <t>仅供比较：假设所有实物同柜，不代表真实出货路径。</t>
        </is>
      </c>
    </row>
    <row r="14">
      <c r="A14" s="15" t="inlineStr">
        <is>
          <t>主产品单项(toilet bowl/pan马桶)</t>
        </is>
      </c>
      <c r="B14" s="25">
        <f>SUMIFS(产品包装信息!$V$5:$V$16,产品包装信息!$AA$5:$AA$16,1)</f>
        <v/>
      </c>
      <c r="C14" s="25">
        <f>SUMIFS(产品包装信息!$W$5:$W$16,产品包装信息!$AA$5:$AA$16,1)</f>
        <v/>
      </c>
      <c r="D14" s="25">
        <f>IF(B14=0,"",ROUNDDOWN($B$4*$B$6/MAX(B14,0.0001),0))</f>
        <v/>
      </c>
      <c r="E14" s="25">
        <f>IF(C14=0,"",ROUNDDOWN(MAX(0,$B$5-$B$7)/MAX(C14,0.0001),0))</f>
        <v/>
      </c>
      <c r="F14" s="26">
        <f>IF(OR(D14="",E14=""),"",MIN(D14,E14))</f>
        <v/>
      </c>
      <c r="G14" s="15">
        <f>IF(F14="","",IF(D14&lt;E14,"体积限制",IF(E14&lt;D14,"重量限制","体积/重量接近")))</f>
        <v/>
      </c>
      <c r="H14" s="26">
        <f>填写首页!$D$5</f>
        <v/>
      </c>
      <c r="I14" s="26">
        <f>IF(F14="","",ROUNDUP(H14/MAX(F14,1),0))</f>
        <v/>
      </c>
      <c r="J14" s="15" t="inlineStr">
        <is>
          <t>用于只有主产品单项出货时参考。</t>
        </is>
      </c>
    </row>
    <row r="15">
      <c r="A15" s="15" t="inlineStr">
        <is>
          <t>中国配件发尼厂组合</t>
        </is>
      </c>
      <c r="B15" s="25">
        <f>SUMIFS(产品包装信息!$V$5:$V$16,产品包装信息!$AB$5:$AB$16,1)</f>
        <v/>
      </c>
      <c r="C15" s="25">
        <f>SUMIFS(产品包装信息!$W$5:$W$16,产品包装信息!$AB$5:$AB$16,1)</f>
        <v/>
      </c>
      <c r="D15" s="25">
        <f>IF(B15=0,"",ROUNDDOWN($B$4*$B$6/MAX(B15,0.0001),0))</f>
        <v/>
      </c>
      <c r="E15" s="25">
        <f>IF(C15=0,"",ROUNDDOWN(MAX(0,$B$5-$B$7)/MAX(C15,0.0001),0))</f>
        <v/>
      </c>
      <c r="F15" s="26">
        <f>IF(OR(D15="",E15=""),"",MIN(D15,E15))</f>
        <v/>
      </c>
      <c r="G15" s="15">
        <f>IF(F15="","",IF(D15&lt;E15,"体积限制",IF(E15&lt;D15,"重量限制","体积/重量接近")))</f>
        <v/>
      </c>
      <c r="H15" s="26">
        <f>填写首页!$D$5</f>
        <v/>
      </c>
      <c r="I15" s="26">
        <f>IF(F15="","",ROUNDUP(H15/MAX(F15,1),0))</f>
        <v/>
      </c>
      <c r="J15" s="15" t="inlineStr">
        <is>
          <t>只估算中国发尼厂后配套的配件，用于中国到尼厂中转物流分摊。</t>
        </is>
      </c>
    </row>
    <row r="16"/>
    <row r="17">
      <c r="A17" s="13" t="inlineStr">
        <is>
          <t>单项装柜明细</t>
        </is>
      </c>
    </row>
    <row r="18">
      <c r="A18" s="14" t="inlineStr">
        <is>
          <t>项目</t>
        </is>
      </c>
      <c r="B18" s="14" t="inlineStr">
        <is>
          <t>供应链路径</t>
        </is>
      </c>
      <c r="C18" s="14" t="inlineStr">
        <is>
          <t>每套用量</t>
        </is>
      </c>
      <c r="D18" s="14" t="inlineStr">
        <is>
          <t>单件CBM</t>
        </is>
      </c>
      <c r="E18" s="14" t="inlineStr">
        <is>
          <t>单件毛重KG</t>
        </is>
      </c>
      <c r="F18" s="14" t="inlineStr">
        <is>
          <t>体积可装件数</t>
        </is>
      </c>
      <c r="G18" s="14" t="inlineStr">
        <is>
          <t>重量可装件数</t>
        </is>
      </c>
      <c r="H18" s="14" t="inlineStr">
        <is>
          <t>建议装柜量</t>
        </is>
      </c>
      <c r="I18" s="14" t="inlineStr">
        <is>
          <t>限制因素</t>
        </is>
      </c>
      <c r="J18" s="14" t="inlineStr">
        <is>
          <t>备注</t>
        </is>
      </c>
    </row>
    <row r="19">
      <c r="A19" s="15">
        <f>产品包装信息!B5</f>
        <v/>
      </c>
      <c r="B19" s="15">
        <f>产品包装信息!T5</f>
        <v/>
      </c>
      <c r="C19" s="15">
        <f>产品包装信息!C5</f>
        <v/>
      </c>
      <c r="D19" s="15">
        <f>产品包装信息!N5</f>
        <v/>
      </c>
      <c r="E19" s="15">
        <f>产品包装信息!O5</f>
        <v/>
      </c>
      <c r="F19" s="15">
        <f>产品包装信息!P5</f>
        <v/>
      </c>
      <c r="G19" s="15">
        <f>产品包装信息!Q5</f>
        <v/>
      </c>
      <c r="H19" s="15">
        <f>产品包装信息!R5</f>
        <v/>
      </c>
      <c r="I19" s="15">
        <f>产品包装信息!S5</f>
        <v/>
      </c>
      <c r="J19" s="15">
        <f>产品包装信息!U5</f>
        <v/>
      </c>
    </row>
    <row r="20">
      <c r="A20" s="15">
        <f>产品包装信息!B6</f>
        <v/>
      </c>
      <c r="B20" s="15">
        <f>产品包装信息!T6</f>
        <v/>
      </c>
      <c r="C20" s="15">
        <f>产品包装信息!C6</f>
        <v/>
      </c>
      <c r="D20" s="15">
        <f>产品包装信息!N6</f>
        <v/>
      </c>
      <c r="E20" s="15">
        <f>产品包装信息!O6</f>
        <v/>
      </c>
      <c r="F20" s="15">
        <f>产品包装信息!P6</f>
        <v/>
      </c>
      <c r="G20" s="15">
        <f>产品包装信息!Q6</f>
        <v/>
      </c>
      <c r="H20" s="15">
        <f>产品包装信息!R6</f>
        <v/>
      </c>
      <c r="I20" s="15">
        <f>产品包装信息!S6</f>
        <v/>
      </c>
      <c r="J20" s="15">
        <f>产品包装信息!U6</f>
        <v/>
      </c>
    </row>
    <row r="21">
      <c r="A21" s="15">
        <f>产品包装信息!B7</f>
        <v/>
      </c>
      <c r="B21" s="15">
        <f>产品包装信息!T7</f>
        <v/>
      </c>
      <c r="C21" s="15">
        <f>产品包装信息!C7</f>
        <v/>
      </c>
      <c r="D21" s="15">
        <f>产品包装信息!N7</f>
        <v/>
      </c>
      <c r="E21" s="15">
        <f>产品包装信息!O7</f>
        <v/>
      </c>
      <c r="F21" s="15">
        <f>产品包装信息!P7</f>
        <v/>
      </c>
      <c r="G21" s="15">
        <f>产品包装信息!Q7</f>
        <v/>
      </c>
      <c r="H21" s="15">
        <f>产品包装信息!R7</f>
        <v/>
      </c>
      <c r="I21" s="15">
        <f>产品包装信息!S7</f>
        <v/>
      </c>
      <c r="J21" s="15">
        <f>产品包装信息!U7</f>
        <v/>
      </c>
    </row>
    <row r="22">
      <c r="A22" s="15">
        <f>产品包装信息!B8</f>
        <v/>
      </c>
      <c r="B22" s="15">
        <f>产品包装信息!T8</f>
        <v/>
      </c>
      <c r="C22" s="15">
        <f>产品包装信息!C8</f>
        <v/>
      </c>
      <c r="D22" s="15">
        <f>产品包装信息!N8</f>
        <v/>
      </c>
      <c r="E22" s="15">
        <f>产品包装信息!O8</f>
        <v/>
      </c>
      <c r="F22" s="15">
        <f>产品包装信息!P8</f>
        <v/>
      </c>
      <c r="G22" s="15">
        <f>产品包装信息!Q8</f>
        <v/>
      </c>
      <c r="H22" s="15">
        <f>产品包装信息!R8</f>
        <v/>
      </c>
      <c r="I22" s="15">
        <f>产品包装信息!S8</f>
        <v/>
      </c>
      <c r="J22" s="15">
        <f>产品包装信息!U8</f>
        <v/>
      </c>
    </row>
    <row r="23">
      <c r="A23" s="15">
        <f>产品包装信息!B9</f>
        <v/>
      </c>
      <c r="B23" s="15">
        <f>产品包装信息!T9</f>
        <v/>
      </c>
      <c r="C23" s="15">
        <f>产品包装信息!C9</f>
        <v/>
      </c>
      <c r="D23" s="15">
        <f>产品包装信息!N9</f>
        <v/>
      </c>
      <c r="E23" s="15">
        <f>产品包装信息!O9</f>
        <v/>
      </c>
      <c r="F23" s="15">
        <f>产品包装信息!P9</f>
        <v/>
      </c>
      <c r="G23" s="15">
        <f>产品包装信息!Q9</f>
        <v/>
      </c>
      <c r="H23" s="15">
        <f>产品包装信息!R9</f>
        <v/>
      </c>
      <c r="I23" s="15">
        <f>产品包装信息!S9</f>
        <v/>
      </c>
      <c r="J23" s="15">
        <f>产品包装信息!U9</f>
        <v/>
      </c>
    </row>
    <row r="24">
      <c r="A24" s="15">
        <f>产品包装信息!B10</f>
        <v/>
      </c>
      <c r="B24" s="15">
        <f>产品包装信息!T10</f>
        <v/>
      </c>
      <c r="C24" s="15">
        <f>产品包装信息!C10</f>
        <v/>
      </c>
      <c r="D24" s="15">
        <f>产品包装信息!N10</f>
        <v/>
      </c>
      <c r="E24" s="15">
        <f>产品包装信息!O10</f>
        <v/>
      </c>
      <c r="F24" s="15">
        <f>产品包装信息!P10</f>
        <v/>
      </c>
      <c r="G24" s="15">
        <f>产品包装信息!Q10</f>
        <v/>
      </c>
      <c r="H24" s="15">
        <f>产品包装信息!R10</f>
        <v/>
      </c>
      <c r="I24" s="15">
        <f>产品包装信息!S10</f>
        <v/>
      </c>
      <c r="J24" s="15">
        <f>产品包装信息!U10</f>
        <v/>
      </c>
    </row>
    <row r="25">
      <c r="A25" s="15">
        <f>产品包装信息!B11</f>
        <v/>
      </c>
      <c r="B25" s="15">
        <f>产品包装信息!T11</f>
        <v/>
      </c>
      <c r="C25" s="15">
        <f>产品包装信息!C11</f>
        <v/>
      </c>
      <c r="D25" s="15">
        <f>产品包装信息!N11</f>
        <v/>
      </c>
      <c r="E25" s="15">
        <f>产品包装信息!O11</f>
        <v/>
      </c>
      <c r="F25" s="15">
        <f>产品包装信息!P11</f>
        <v/>
      </c>
      <c r="G25" s="15">
        <f>产品包装信息!Q11</f>
        <v/>
      </c>
      <c r="H25" s="15">
        <f>产品包装信息!R11</f>
        <v/>
      </c>
      <c r="I25" s="15">
        <f>产品包装信息!S11</f>
        <v/>
      </c>
      <c r="J25" s="15">
        <f>产品包装信息!U11</f>
        <v/>
      </c>
    </row>
    <row r="26">
      <c r="A26" s="15">
        <f>产品包装信息!B12</f>
        <v/>
      </c>
      <c r="B26" s="15">
        <f>产品包装信息!T12</f>
        <v/>
      </c>
      <c r="C26" s="15">
        <f>产品包装信息!C12</f>
        <v/>
      </c>
      <c r="D26" s="15">
        <f>产品包装信息!N12</f>
        <v/>
      </c>
      <c r="E26" s="15">
        <f>产品包装信息!O12</f>
        <v/>
      </c>
      <c r="F26" s="15">
        <f>产品包装信息!P12</f>
        <v/>
      </c>
      <c r="G26" s="15">
        <f>产品包装信息!Q12</f>
        <v/>
      </c>
      <c r="H26" s="15">
        <f>产品包装信息!R12</f>
        <v/>
      </c>
      <c r="I26" s="15">
        <f>产品包装信息!S12</f>
        <v/>
      </c>
      <c r="J26" s="15">
        <f>产品包装信息!U12</f>
        <v/>
      </c>
    </row>
    <row r="27">
      <c r="A27" s="15">
        <f>产品包装信息!B13</f>
        <v/>
      </c>
      <c r="B27" s="15">
        <f>产品包装信息!T13</f>
        <v/>
      </c>
      <c r="C27" s="15">
        <f>产品包装信息!C13</f>
        <v/>
      </c>
      <c r="D27" s="15">
        <f>产品包装信息!N13</f>
        <v/>
      </c>
      <c r="E27" s="15">
        <f>产品包装信息!O13</f>
        <v/>
      </c>
      <c r="F27" s="15">
        <f>产品包装信息!P13</f>
        <v/>
      </c>
      <c r="G27" s="15">
        <f>产品包装信息!Q13</f>
        <v/>
      </c>
      <c r="H27" s="15">
        <f>产品包装信息!R13</f>
        <v/>
      </c>
      <c r="I27" s="15">
        <f>产品包装信息!S13</f>
        <v/>
      </c>
      <c r="J27" s="15">
        <f>产品包装信息!U13</f>
        <v/>
      </c>
    </row>
    <row r="28">
      <c r="A28" s="15">
        <f>产品包装信息!B14</f>
        <v/>
      </c>
      <c r="B28" s="15">
        <f>产品包装信息!T14</f>
        <v/>
      </c>
      <c r="C28" s="15">
        <f>产品包装信息!C14</f>
        <v/>
      </c>
      <c r="D28" s="15">
        <f>产品包装信息!N14</f>
        <v/>
      </c>
      <c r="E28" s="15">
        <f>产品包装信息!O14</f>
        <v/>
      </c>
      <c r="F28" s="15">
        <f>产品包装信息!P14</f>
        <v/>
      </c>
      <c r="G28" s="15">
        <f>产品包装信息!Q14</f>
        <v/>
      </c>
      <c r="H28" s="15">
        <f>产品包装信息!R14</f>
        <v/>
      </c>
      <c r="I28" s="15">
        <f>产品包装信息!S14</f>
        <v/>
      </c>
      <c r="J28" s="15">
        <f>产品包装信息!U14</f>
        <v/>
      </c>
    </row>
    <row r="29">
      <c r="A29" s="15">
        <f>产品包装信息!B15</f>
        <v/>
      </c>
      <c r="B29" s="15">
        <f>产品包装信息!T15</f>
        <v/>
      </c>
      <c r="C29" s="15">
        <f>产品包装信息!C15</f>
        <v/>
      </c>
      <c r="D29" s="15">
        <f>产品包装信息!N15</f>
        <v/>
      </c>
      <c r="E29" s="15">
        <f>产品包装信息!O15</f>
        <v/>
      </c>
      <c r="F29" s="15">
        <f>产品包装信息!P15</f>
        <v/>
      </c>
      <c r="G29" s="15">
        <f>产品包装信息!Q15</f>
        <v/>
      </c>
      <c r="H29" s="15">
        <f>产品包装信息!R15</f>
        <v/>
      </c>
      <c r="I29" s="15">
        <f>产品包装信息!S15</f>
        <v/>
      </c>
      <c r="J29" s="15">
        <f>产品包装信息!U15</f>
        <v/>
      </c>
    </row>
    <row r="30">
      <c r="A30" s="15">
        <f>产品包装信息!B16</f>
        <v/>
      </c>
      <c r="B30" s="15">
        <f>产品包装信息!T16</f>
        <v/>
      </c>
      <c r="C30" s="15">
        <f>产品包装信息!C16</f>
        <v/>
      </c>
      <c r="D30" s="15">
        <f>产品包装信息!N16</f>
        <v/>
      </c>
      <c r="E30" s="15">
        <f>产品包装信息!O16</f>
        <v/>
      </c>
      <c r="F30" s="15">
        <f>产品包装信息!P16</f>
        <v/>
      </c>
      <c r="G30" s="15">
        <f>产品包装信息!Q16</f>
        <v/>
      </c>
      <c r="H30" s="15">
        <f>产品包装信息!R16</f>
        <v/>
      </c>
      <c r="I30" s="15">
        <f>产品包装信息!S16</f>
        <v/>
      </c>
      <c r="J30" s="15">
        <f>产品包装信息!U16</f>
        <v/>
      </c>
    </row>
  </sheetData>
  <mergeCells count="3">
    <mergeCell ref="A17:J17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6" customWidth="1" min="3" max="3"/>
    <col width="28" customWidth="1" min="4" max="4"/>
    <col width="34" customWidth="1" min="5" max="5"/>
  </cols>
  <sheetData>
    <row r="1">
      <c r="A1" s="1" t="inlineStr">
        <is>
          <t>价格口径检查</t>
        </is>
      </c>
    </row>
    <row r="2"/>
    <row r="3">
      <c r="A3" s="14" t="inlineStr">
        <is>
          <t>检查项</t>
        </is>
      </c>
      <c r="B3" s="14" t="inlineStr">
        <is>
          <t>状态</t>
        </is>
      </c>
      <c r="C3" s="14" t="inlineStr">
        <is>
          <t>处理建议</t>
        </is>
      </c>
      <c r="D3" s="14" t="inlineStr">
        <is>
          <t>关联位置</t>
        </is>
      </c>
      <c r="E3" s="14" t="inlineStr">
        <is>
          <t>说明</t>
        </is>
      </c>
    </row>
    <row r="4">
      <c r="A4" s="15" t="inlineStr">
        <is>
          <t>价格金额为空</t>
        </is>
      </c>
      <c r="B4" s="27">
        <f>IF(SUMPRODUCT((填写首页!$B$13:$B$34&lt;&gt;"")*(填写首页!$G$13:$G$34&lt;&gt;"仅参考不计入")*(填写首页!$O$13:$O$34&lt;&gt;"公式测算")*(填写首页!$C$13:$C$34=""))&gt;0,"报警","OK")</f>
        <v/>
      </c>
      <c r="C4" s="15" t="inlineStr">
        <is>
          <t>补齐人民币金额；物流成本选择公式测算时可不填C列</t>
        </is>
      </c>
      <c r="D4" s="15" t="inlineStr">
        <is>
          <t>填写首页 成本录入区</t>
        </is>
      </c>
      <c r="E4" s="15" t="inlineStr"/>
    </row>
    <row r="5">
      <c r="A5" s="15" t="inlineStr">
        <is>
          <t>价格口径为空</t>
        </is>
      </c>
      <c r="B5" s="27">
        <f>IF(COUNTIFS(填写首页!$B$13:$B$34,"&lt;&gt;",填写首页!$E$13:$E$34,"")&gt;0,"报警","OK")</f>
        <v/>
      </c>
      <c r="C5" s="15" t="inlineStr">
        <is>
          <t>每个价格必须选择价格口径</t>
        </is>
      </c>
      <c r="D5" s="15" t="inlineStr">
        <is>
          <t>填写首页 E列</t>
        </is>
      </c>
      <c r="E5" s="15" t="inlineStr"/>
    </row>
    <row r="6">
      <c r="A6" s="15" t="inlineStr">
        <is>
          <t>动态口径不匹配</t>
        </is>
      </c>
      <c r="B6" s="27">
        <f>IF(SUMPRODUCT(--(填写首页!$D$13:$D$34="中国供应商"),--ISNA(MATCH(填写首页!$E$13:$E$34,Lists!$B$1:$B$5,0)))+SUMPRODUCT(--((填写首页!$D$13:$D$34="尼日利亚工厂")+(填写首页!$D$13:$D$34="尼日利亚本地供应商")&gt;0),--ISNA(MATCH(填写首页!$E$13:$E$34,Lists!$A$1:$A$4,0)))&gt;0,"报警","OK")</f>
        <v/>
      </c>
      <c r="C6" s="15" t="inlineStr">
        <is>
          <t>报价来源与价格口径必须匹配</t>
        </is>
      </c>
      <c r="D6" s="15" t="inlineStr">
        <is>
          <t>填写首页 D/E列</t>
        </is>
      </c>
      <c r="E6" s="15" t="inlineStr">
        <is>
          <t>中国供应商不能选择FOB尼日利亚港</t>
        </is>
      </c>
    </row>
    <row r="7">
      <c r="A7" s="15" t="inlineStr">
        <is>
          <t>EXW价格但没有补物流</t>
        </is>
      </c>
      <c r="B7" s="27">
        <f>IF(AND(COUNTIF(填写首页!$E$13:$E$34,"EXW中国供应商")&gt;0,SUMIFS(物流参数!$J:$J,物流参数!$C:$C,"中国配件直发客户",物流参数!$K:$K,"是")+SUMIFS(物流参数!$J:$J,物流参数!$C:$C,"中国配件发尼厂后配套",物流参数!$K:$K,"是")=0),"报警","OK")</f>
        <v/>
      </c>
      <c r="C7" s="15" t="inlineStr">
        <is>
          <t>EXW只含供应商裸价，需要补物流或本地费用</t>
        </is>
      </c>
      <c r="D7" s="15" t="inlineStr">
        <is>
          <t>物流参数</t>
        </is>
      </c>
      <c r="E7" s="15" t="inlineStr"/>
    </row>
    <row r="8">
      <c r="A8" s="15" t="inlineStr">
        <is>
          <t>FOB/入库价格重复加本地费用</t>
        </is>
      </c>
      <c r="B8" s="27">
        <f>IF(AND(COUNTIFS(填写首页!$E$13:$E$34,"到尼厂入库成本",填写首页!$F$13:$F$34,"中国配件发尼厂后配套")&gt;0,填写首页!$O$34="手动填写",N(填写首页!$C$34)&gt;0),"报警","OK")</f>
        <v/>
      </c>
      <c r="C8" s="15" t="inlineStr">
        <is>
          <t>到尼厂入库成本已含中国段；公式测算会自动剔除中转物流，手动物流需确认未重复包含中国到尼厂费用</t>
        </is>
      </c>
      <c r="D8" s="15" t="inlineStr">
        <is>
          <t>填写首页 E/F列 + 物流成本行</t>
        </is>
      </c>
      <c r="E8" s="15" t="inlineStr"/>
    </row>
    <row r="9">
      <c r="A9" s="15" t="inlineStr">
        <is>
          <t>中国直发配件被计入尼日利亚物流</t>
        </is>
      </c>
      <c r="B9" s="27">
        <f>IF(COUNTIFS(填写首页!$F$13:$F$34,"中国配件直发客户",填写首页!$G$13:$G$34,"计入套装BOM")&gt;0,"报警","OK")</f>
        <v/>
      </c>
      <c r="C9" s="15" t="inlineStr">
        <is>
          <t>中国直发客户应客户单独报价或计入独立物流，不能混入套装BOM</t>
        </is>
      </c>
      <c r="D9" s="15" t="inlineStr">
        <is>
          <t>填写首页 F/G列</t>
        </is>
      </c>
      <c r="E9" s="15" t="inlineStr"/>
    </row>
    <row r="10">
      <c r="A10" s="15" t="inlineStr">
        <is>
          <t>CIF缺保险</t>
        </is>
      </c>
      <c r="B10" s="27">
        <f>IF(AND(填写首页!$B$6="CIF目的港",N(填写首页!$B$7)&lt;=0,N(填写首页!$D$7)&lt;=0),"报警","OK")</f>
        <v/>
      </c>
      <c r="C10" s="15" t="inlineStr">
        <is>
          <t>CIF目的港必须填写保险费率或保险金额</t>
        </is>
      </c>
      <c r="D10" s="15" t="inlineStr">
        <is>
          <t>填写首页 B7/D7</t>
        </is>
      </c>
      <c r="E10" s="15" t="inlineStr"/>
    </row>
    <row r="11">
      <c r="A11" s="15" t="inlineStr">
        <is>
          <t>CFR/CIF没有目的港</t>
        </is>
      </c>
      <c r="B11" s="27">
        <f>IF(AND(OR(填写首页!$B$6="CFR目的港",填写首页!$B$6="CIF目的港"),填写首页!$D$6=""),"报警","OK")</f>
        <v/>
      </c>
      <c r="C11" s="15" t="inlineStr">
        <is>
          <t>CFR/CIF必须有目的港</t>
        </is>
      </c>
      <c r="D11" s="15" t="inlineStr">
        <is>
          <t>填写首页 D6</t>
        </is>
      </c>
      <c r="E11" s="15" t="inlineStr"/>
    </row>
    <row r="12">
      <c r="A12" s="15" t="inlineStr">
        <is>
          <t>手动确认成本未审批</t>
        </is>
      </c>
      <c r="B12" s="27">
        <f>IF(SUMPRODUCT((填写首页!$E$13:$E$34="手动确认成本")*(填写首页!$O$13:$O$34&lt;&gt;"公式测算")*(((填写首页!$J$13:$J$34="")+(填写首页!$K$13:$K$34="")+(填写首页!$L$13:$L$34="")+(填写首页!$M$13:$M$34=""))&gt;0))&gt;0,"报警","OK")</f>
        <v/>
      </c>
      <c r="C12" s="15" t="inlineStr">
        <is>
          <t>内部成本例外必须填写原因、审批人、日期、有效期；物流公式测算不按手动成本审批</t>
        </is>
      </c>
      <c r="D12" s="15" t="inlineStr">
        <is>
          <t>填写首页 J:M列</t>
        </is>
      </c>
      <c r="E12" s="15" t="inlineStr"/>
    </row>
    <row r="13">
      <c r="A13" s="15" t="inlineStr">
        <is>
          <t>手动项目报价未审批</t>
        </is>
      </c>
      <c r="B13" s="27">
        <f>IF(AND(填写首页!$B$6="手动项目报价",OR(填写首页!$F$7="",填写首页!$H$7="",填写首页!$J$7="",填写首页!$F$8="")),"报警","OK")</f>
        <v/>
      </c>
      <c r="C13" s="15" t="inlineStr">
        <is>
          <t>客户销售报价例外必须单独审批</t>
        </is>
      </c>
      <c r="D13" s="15" t="inlineStr">
        <is>
          <t>填写首页 F7:J7 / F8</t>
        </is>
      </c>
      <c r="E13" s="15" t="inlineStr"/>
    </row>
    <row r="14">
      <c r="A14" s="15" t="inlineStr">
        <is>
          <t>产品/包装信息缺失</t>
        </is>
      </c>
      <c r="B14" s="27">
        <f>IF(OR(AND(填写首页!$G$13&lt;&gt;"仅参考不计入",填写首页!$I$13&gt;0,OR(填写首页!$C$40="",填写首页!$D$40="",填写首页!$E$40="",填写首页!$F$40="",填写首页!$G$40="",填写首页!$H$40="",填写首页!$I$40="",填写首页!$J$40="",填写首页!$K$40="",填写首页!$L$40="")),AND(填写首页!$G$14&lt;&gt;"仅参考不计入",填写首页!$I$14&gt;0,OR(填写首页!$C$41="",填写首页!$D$41="",填写首页!$E$41="",填写首页!$F$41="",填写首页!$G$41="",填写首页!$H$41="",填写首页!$I$41="",填写首页!$J$41="",填写首页!$K$41="",填写首页!$L$41="")),AND(填写首页!$G$15&lt;&gt;"仅参考不计入",填写首页!$I$15&gt;0,OR(填写首页!$C$42="",填写首页!$D$42="",填写首页!$E$42="",填写首页!$F$42="",填写首页!$G$42="",填写首页!$H$42="",填写首页!$I$42="",填写首页!$J$42="",填写首页!$K$42="",填写首页!$L$42="")),AND(填写首页!$G$16&lt;&gt;"仅参考不计入",填写首页!$I$16&gt;0,OR(填写首页!$C$43="",填写首页!$D$43="",填写首页!$E$43="",填写首页!$F$43="",填写首页!$G$43="",填写首页!$H$43="",填写首页!$I$43="",填写首页!$J$43="",填写首页!$K$43="",填写首页!$L$43="")),AND(填写首页!$G$17&lt;&gt;"仅参考不计入",填写首页!$I$17&gt;0,OR(填写首页!$C$44="",填写首页!$D$44="",填写首页!$E$44="",填写首页!$F$44="",填写首页!$G$44="",填写首页!$H$44="",填写首页!$I$44="",填写首页!$J$44="",填写首页!$K$44="",填写首页!$L$44="")),AND(填写首页!$G$18&lt;&gt;"仅参考不计入",填写首页!$I$18&gt;0,OR(填写首页!$C$45="",填写首页!$D$45="",填写首页!$E$45="",填写首页!$F$45="",填写首页!$G$45="",填写首页!$H$45="",填写首页!$I$45="",填写首页!$J$45="",填写首页!$K$45="",填写首页!$L$45="")),AND(填写首页!$G$19&lt;&gt;"仅参考不计入",填写首页!$I$19&gt;0,OR(填写首页!$C$46="",填写首页!$D$46="",填写首页!$E$46="",填写首页!$F$46="",填写首页!$G$46="",填写首页!$H$46="",填写首页!$I$46="",填写首页!$J$46="",填写首页!$K$46="",填写首页!$L$46="")),AND(填写首页!$G$20&lt;&gt;"仅参考不计入",填写首页!$I$20&gt;0,OR(填写首页!$C$47="",填写首页!$D$47="",填写首页!$E$47="",填写首页!$F$47="",填写首页!$G$47="",填写首页!$H$47="",填写首页!$I$47="",填写首页!$J$47="",填写首页!$K$47="",填写首页!$L$47="")),AND(填写首页!$G$21&lt;&gt;"仅参考不计入",填写首页!$I$21&gt;0,OR(填写首页!$C$48="",填写首页!$D$48="",填写首页!$E$48="",填写首页!$F$48="",填写首页!$G$48="",填写首页!$H$48="",填写首页!$I$48="",填写首页!$J$48="",填写首页!$K$48="",填写首页!$L$48="")),AND(填写首页!$G$22&lt;&gt;"仅参考不计入",填写首页!$I$22&gt;0,OR(填写首页!$C$49="",填写首页!$D$49="",填写首页!$E$49="",填写首页!$F$49="",填写首页!$G$49="",填写首页!$H$49="",填写首页!$I$49="",填写首页!$J$49="",填写首页!$K$49="",填写首页!$L$49="")),AND(填写首页!$G$23&lt;&gt;"仅参考不计入",填写首页!$I$23&gt;0,OR(填写首页!$C$50="",填写首页!$D$50="",填写首页!$E$50="",填写首页!$F$50="",填写首页!$G$50="",填写首页!$H$50="",填写首页!$I$50="",填写首页!$J$50="",填写首页!$K$50="",填写首页!$L$50="")),AND(填写首页!$G$24&lt;&gt;"仅参考不计入",填写首页!$I$24&gt;0,OR(填写首页!$C$51="",填写首页!$D$51="",填写首页!$E$51="",填写首页!$F$51="",填写首页!$G$51="",填写首页!$H$51="",填写首页!$I$51="",填写首页!$J$51="",填写首页!$K$51="",填写首页!$L$51=""))),"报警","OK")</f>
        <v/>
      </c>
      <c r="C14" s="15" t="inlineStr">
        <is>
          <t>计入报价的实物项目需要补产品尺寸、净重、每箱件数、包装尺寸和毛重</t>
        </is>
      </c>
      <c r="D14" s="15" t="inlineStr">
        <is>
          <t>填写首页 产品与包装信息区</t>
        </is>
      </c>
      <c r="E14" s="15" t="inlineStr"/>
    </row>
    <row r="15">
      <c r="A15" s="15" t="inlineStr">
        <is>
          <t>成本加价率低于底线</t>
        </is>
      </c>
      <c r="B15" s="27">
        <f>IF(InternalCost!$B$10&lt;InternalCost!$D$10,"报警","OK")</f>
        <v/>
      </c>
      <c r="C15" s="15" t="inlineStr">
        <is>
          <t>复核目标价或申请审批</t>
        </is>
      </c>
      <c r="D15" s="15" t="inlineStr">
        <is>
          <t>InternalCost</t>
        </is>
      </c>
      <c r="E15" s="15" t="inlineStr"/>
    </row>
    <row r="16">
      <c r="A16" s="15" t="inlineStr">
        <is>
          <t>DDP被当作自动报价使用</t>
        </is>
      </c>
      <c r="B16" s="27">
        <f>IF(填写首页!$J$6="是","报警","OK")</f>
        <v/>
      </c>
      <c r="C16" s="15" t="inlineStr">
        <is>
          <t>DDP只能作为手动项目报价并主管审批</t>
        </is>
      </c>
      <c r="D16" s="15" t="inlineStr">
        <is>
          <t>填写首页 J6</t>
        </is>
      </c>
      <c r="E16" s="15" t="inlineStr"/>
    </row>
    <row r="17">
      <c r="A17" s="15" t="inlineStr">
        <is>
          <t>客户版可外发</t>
        </is>
      </c>
      <c r="B17" s="27">
        <f>IF(COUNTIF($B$4:$B$16,"报警")&gt;0,"否","是")</f>
        <v/>
      </c>
      <c r="C17" s="15" t="inlineStr">
        <is>
          <t>否时不要发送CustomerQuote</t>
        </is>
      </c>
      <c r="D17" s="15" t="inlineStr">
        <is>
          <t>CustomerQuote</t>
        </is>
      </c>
      <c r="E17" s="1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E0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0" customWidth="1" min="4" max="4"/>
    <col width="22" customWidth="1" min="5" max="5"/>
    <col width="16" customWidth="1" min="6" max="6"/>
    <col width="12" customWidth="1" min="7" max="7"/>
    <col width="12" customWidth="1" min="8" max="8"/>
    <col width="16" customWidth="1" min="9" max="9"/>
    <col width="18" customWidth="1" min="10" max="10"/>
    <col width="36" customWidth="1" min="11" max="11"/>
  </cols>
  <sheetData>
    <row r="1">
      <c r="A1" s="14" t="inlineStr">
        <is>
          <t>类别</t>
        </is>
      </c>
      <c r="B1" s="14" t="inlineStr">
        <is>
          <t>项目</t>
        </is>
      </c>
      <c r="C1" s="14" t="inlineStr">
        <is>
          <t>生效成本RMB</t>
        </is>
      </c>
      <c r="D1" s="14" t="inlineStr">
        <is>
          <t>价格口径</t>
        </is>
      </c>
      <c r="E1" s="14" t="inlineStr">
        <is>
          <t>供应链路径</t>
        </is>
      </c>
      <c r="F1" s="14" t="inlineStr">
        <is>
          <t>成本处理方式</t>
        </is>
      </c>
      <c r="G1" s="14" t="inlineStr">
        <is>
          <t>计入BOM</t>
        </is>
      </c>
      <c r="H1" s="14" t="inlineStr">
        <is>
          <t>独立物流</t>
        </is>
      </c>
      <c r="I1" s="14" t="inlineStr">
        <is>
          <t>客户单独报价成本</t>
        </is>
      </c>
      <c r="J1" s="14" t="inlineStr">
        <is>
          <t>参与加价复核成本</t>
        </is>
      </c>
      <c r="K1" s="14" t="inlineStr">
        <is>
          <t>风险提示</t>
        </is>
      </c>
    </row>
    <row r="2">
      <c r="A2" s="25">
        <f>填写首页!A13</f>
        <v/>
      </c>
      <c r="B2" s="25">
        <f>填写首页!B13</f>
        <v/>
      </c>
      <c r="C2" s="25">
        <f>填写首页!I13</f>
        <v/>
      </c>
      <c r="D2" s="25">
        <f>填写首页!E13</f>
        <v/>
      </c>
      <c r="E2" s="25">
        <f>填写首页!F13</f>
        <v/>
      </c>
      <c r="F2" s="25">
        <f>填写首页!G13</f>
        <v/>
      </c>
      <c r="G2" s="25">
        <f>IF(填写首页!G13="计入套装BOM",C2,0)</f>
        <v/>
      </c>
      <c r="H2" s="25">
        <f>IF(填写首页!G13="计入独立物流",C2,0)</f>
        <v/>
      </c>
      <c r="I2" s="25">
        <f>IF(填写首页!G13="客户单独报价",C2,0)</f>
        <v/>
      </c>
      <c r="J2" s="25">
        <f>IF(填写首页!H13="是",C2,0)</f>
        <v/>
      </c>
      <c r="K2" s="25">
        <f>IF(AND(D2="到尼厂入库成本",E2="中国配件发尼厂后配套"),"中国段已含，不再加中转物流",IF(AND(E2="中国配件直发客户",F2="计入套装BOM"),"路径冲突：直发客户不应进套装BOM",""))</f>
        <v/>
      </c>
    </row>
    <row r="3">
      <c r="A3" s="25">
        <f>填写首页!A14</f>
        <v/>
      </c>
      <c r="B3" s="25">
        <f>填写首页!B14</f>
        <v/>
      </c>
      <c r="C3" s="25">
        <f>填写首页!I14</f>
        <v/>
      </c>
      <c r="D3" s="25">
        <f>填写首页!E14</f>
        <v/>
      </c>
      <c r="E3" s="25">
        <f>填写首页!F14</f>
        <v/>
      </c>
      <c r="F3" s="25">
        <f>填写首页!G14</f>
        <v/>
      </c>
      <c r="G3" s="25">
        <f>IF(填写首页!G14="计入套装BOM",C3,0)</f>
        <v/>
      </c>
      <c r="H3" s="25">
        <f>IF(填写首页!G14="计入独立物流",C3,0)</f>
        <v/>
      </c>
      <c r="I3" s="25">
        <f>IF(填写首页!G14="客户单独报价",C3,0)</f>
        <v/>
      </c>
      <c r="J3" s="25">
        <f>IF(填写首页!H14="是",C3,0)</f>
        <v/>
      </c>
      <c r="K3" s="25">
        <f>IF(AND(D3="到尼厂入库成本",E3="中国配件发尼厂后配套"),"中国段已含，不再加中转物流",IF(AND(E3="中国配件直发客户",F3="计入套装BOM"),"路径冲突：直发客户不应进套装BOM",""))</f>
        <v/>
      </c>
    </row>
    <row r="4">
      <c r="A4" s="25">
        <f>填写首页!A15</f>
        <v/>
      </c>
      <c r="B4" s="25">
        <f>填写首页!B15</f>
        <v/>
      </c>
      <c r="C4" s="25">
        <f>填写首页!I15</f>
        <v/>
      </c>
      <c r="D4" s="25">
        <f>填写首页!E15</f>
        <v/>
      </c>
      <c r="E4" s="25">
        <f>填写首页!F15</f>
        <v/>
      </c>
      <c r="F4" s="25">
        <f>填写首页!G15</f>
        <v/>
      </c>
      <c r="G4" s="25">
        <f>IF(填写首页!G15="计入套装BOM",C4,0)</f>
        <v/>
      </c>
      <c r="H4" s="25">
        <f>IF(填写首页!G15="计入独立物流",C4,0)</f>
        <v/>
      </c>
      <c r="I4" s="25">
        <f>IF(填写首页!G15="客户单独报价",C4,0)</f>
        <v/>
      </c>
      <c r="J4" s="25">
        <f>IF(填写首页!H15="是",C4,0)</f>
        <v/>
      </c>
      <c r="K4" s="25">
        <f>IF(AND(D4="到尼厂入库成本",E4="中国配件发尼厂后配套"),"中国段已含，不再加中转物流",IF(AND(E4="中国配件直发客户",F4="计入套装BOM"),"路径冲突：直发客户不应进套装BOM",""))</f>
        <v/>
      </c>
    </row>
    <row r="5">
      <c r="A5" s="25">
        <f>填写首页!A16</f>
        <v/>
      </c>
      <c r="B5" s="25">
        <f>填写首页!B16</f>
        <v/>
      </c>
      <c r="C5" s="25">
        <f>填写首页!I16</f>
        <v/>
      </c>
      <c r="D5" s="25">
        <f>填写首页!E16</f>
        <v/>
      </c>
      <c r="E5" s="25">
        <f>填写首页!F16</f>
        <v/>
      </c>
      <c r="F5" s="25">
        <f>填写首页!G16</f>
        <v/>
      </c>
      <c r="G5" s="25">
        <f>IF(填写首页!G16="计入套装BOM",C5,0)</f>
        <v/>
      </c>
      <c r="H5" s="25">
        <f>IF(填写首页!G16="计入独立物流",C5,0)</f>
        <v/>
      </c>
      <c r="I5" s="25">
        <f>IF(填写首页!G16="客户单独报价",C5,0)</f>
        <v/>
      </c>
      <c r="J5" s="25">
        <f>IF(填写首页!H16="是",C5,0)</f>
        <v/>
      </c>
      <c r="K5" s="25">
        <f>IF(AND(D5="到尼厂入库成本",E5="中国配件发尼厂后配套"),"中国段已含，不再加中转物流",IF(AND(E5="中国配件直发客户",F5="计入套装BOM"),"路径冲突：直发客户不应进套装BOM",""))</f>
        <v/>
      </c>
    </row>
    <row r="6">
      <c r="A6" s="25">
        <f>填写首页!A17</f>
        <v/>
      </c>
      <c r="B6" s="25">
        <f>填写首页!B17</f>
        <v/>
      </c>
      <c r="C6" s="25">
        <f>填写首页!I17</f>
        <v/>
      </c>
      <c r="D6" s="25">
        <f>填写首页!E17</f>
        <v/>
      </c>
      <c r="E6" s="25">
        <f>填写首页!F17</f>
        <v/>
      </c>
      <c r="F6" s="25">
        <f>填写首页!G17</f>
        <v/>
      </c>
      <c r="G6" s="25">
        <f>IF(填写首页!G17="计入套装BOM",C6,0)</f>
        <v/>
      </c>
      <c r="H6" s="25">
        <f>IF(填写首页!G17="计入独立物流",C6,0)</f>
        <v/>
      </c>
      <c r="I6" s="25">
        <f>IF(填写首页!G17="客户单独报价",C6,0)</f>
        <v/>
      </c>
      <c r="J6" s="25">
        <f>IF(填写首页!H17="是",C6,0)</f>
        <v/>
      </c>
      <c r="K6" s="25">
        <f>IF(AND(D6="到尼厂入库成本",E6="中国配件发尼厂后配套"),"中国段已含，不再加中转物流",IF(AND(E6="中国配件直发客户",F6="计入套装BOM"),"路径冲突：直发客户不应进套装BOM",""))</f>
        <v/>
      </c>
    </row>
    <row r="7">
      <c r="A7" s="25">
        <f>填写首页!A18</f>
        <v/>
      </c>
      <c r="B7" s="25">
        <f>填写首页!B18</f>
        <v/>
      </c>
      <c r="C7" s="25">
        <f>填写首页!I18</f>
        <v/>
      </c>
      <c r="D7" s="25">
        <f>填写首页!E18</f>
        <v/>
      </c>
      <c r="E7" s="25">
        <f>填写首页!F18</f>
        <v/>
      </c>
      <c r="F7" s="25">
        <f>填写首页!G18</f>
        <v/>
      </c>
      <c r="G7" s="25">
        <f>IF(填写首页!G18="计入套装BOM",C7,0)</f>
        <v/>
      </c>
      <c r="H7" s="25">
        <f>IF(填写首页!G18="计入独立物流",C7,0)</f>
        <v/>
      </c>
      <c r="I7" s="25">
        <f>IF(填写首页!G18="客户单独报价",C7,0)</f>
        <v/>
      </c>
      <c r="J7" s="25">
        <f>IF(填写首页!H18="是",C7,0)</f>
        <v/>
      </c>
      <c r="K7" s="25">
        <f>IF(AND(D7="到尼厂入库成本",E7="中国配件发尼厂后配套"),"中国段已含，不再加中转物流",IF(AND(E7="中国配件直发客户",F7="计入套装BOM"),"路径冲突：直发客户不应进套装BOM",""))</f>
        <v/>
      </c>
    </row>
    <row r="8">
      <c r="A8" s="25">
        <f>填写首页!A19</f>
        <v/>
      </c>
      <c r="B8" s="25">
        <f>填写首页!B19</f>
        <v/>
      </c>
      <c r="C8" s="25">
        <f>填写首页!I19</f>
        <v/>
      </c>
      <c r="D8" s="25">
        <f>填写首页!E19</f>
        <v/>
      </c>
      <c r="E8" s="25">
        <f>填写首页!F19</f>
        <v/>
      </c>
      <c r="F8" s="25">
        <f>填写首页!G19</f>
        <v/>
      </c>
      <c r="G8" s="25">
        <f>IF(填写首页!G19="计入套装BOM",C8,0)</f>
        <v/>
      </c>
      <c r="H8" s="25">
        <f>IF(填写首页!G19="计入独立物流",C8,0)</f>
        <v/>
      </c>
      <c r="I8" s="25">
        <f>IF(填写首页!G19="客户单独报价",C8,0)</f>
        <v/>
      </c>
      <c r="J8" s="25">
        <f>IF(填写首页!H19="是",C8,0)</f>
        <v/>
      </c>
      <c r="K8" s="25">
        <f>IF(AND(D8="到尼厂入库成本",E8="中国配件发尼厂后配套"),"中国段已含，不再加中转物流",IF(AND(E8="中国配件直发客户",F8="计入套装BOM"),"路径冲突：直发客户不应进套装BOM",""))</f>
        <v/>
      </c>
    </row>
    <row r="9">
      <c r="A9" s="25">
        <f>填写首页!A20</f>
        <v/>
      </c>
      <c r="B9" s="25">
        <f>填写首页!B20</f>
        <v/>
      </c>
      <c r="C9" s="25">
        <f>填写首页!I20</f>
        <v/>
      </c>
      <c r="D9" s="25">
        <f>填写首页!E20</f>
        <v/>
      </c>
      <c r="E9" s="25">
        <f>填写首页!F20</f>
        <v/>
      </c>
      <c r="F9" s="25">
        <f>填写首页!G20</f>
        <v/>
      </c>
      <c r="G9" s="25">
        <f>IF(填写首页!G20="计入套装BOM",C9,0)</f>
        <v/>
      </c>
      <c r="H9" s="25">
        <f>IF(填写首页!G20="计入独立物流",C9,0)</f>
        <v/>
      </c>
      <c r="I9" s="25">
        <f>IF(填写首页!G20="客户单独报价",C9,0)</f>
        <v/>
      </c>
      <c r="J9" s="25">
        <f>IF(填写首页!H20="是",C9,0)</f>
        <v/>
      </c>
      <c r="K9" s="25">
        <f>IF(AND(D9="到尼厂入库成本",E9="中国配件发尼厂后配套"),"中国段已含，不再加中转物流",IF(AND(E9="中国配件直发客户",F9="计入套装BOM"),"路径冲突：直发客户不应进套装BOM",""))</f>
        <v/>
      </c>
    </row>
    <row r="10">
      <c r="A10" s="25">
        <f>填写首页!A21</f>
        <v/>
      </c>
      <c r="B10" s="25">
        <f>填写首页!B21</f>
        <v/>
      </c>
      <c r="C10" s="25">
        <f>填写首页!I21</f>
        <v/>
      </c>
      <c r="D10" s="25">
        <f>填写首页!E21</f>
        <v/>
      </c>
      <c r="E10" s="25">
        <f>填写首页!F21</f>
        <v/>
      </c>
      <c r="F10" s="25">
        <f>填写首页!G21</f>
        <v/>
      </c>
      <c r="G10" s="25">
        <f>IF(填写首页!G21="计入套装BOM",C10,0)</f>
        <v/>
      </c>
      <c r="H10" s="25">
        <f>IF(填写首页!G21="计入独立物流",C10,0)</f>
        <v/>
      </c>
      <c r="I10" s="25">
        <f>IF(填写首页!G21="客户单独报价",C10,0)</f>
        <v/>
      </c>
      <c r="J10" s="25">
        <f>IF(填写首页!H21="是",C10,0)</f>
        <v/>
      </c>
      <c r="K10" s="25">
        <f>IF(AND(D10="到尼厂入库成本",E10="中国配件发尼厂后配套"),"中国段已含，不再加中转物流",IF(AND(E10="中国配件直发客户",F10="计入套装BOM"),"路径冲突：直发客户不应进套装BOM",""))</f>
        <v/>
      </c>
    </row>
    <row r="11">
      <c r="A11" s="25">
        <f>填写首页!A22</f>
        <v/>
      </c>
      <c r="B11" s="25">
        <f>填写首页!B22</f>
        <v/>
      </c>
      <c r="C11" s="25">
        <f>填写首页!I22</f>
        <v/>
      </c>
      <c r="D11" s="25">
        <f>填写首页!E22</f>
        <v/>
      </c>
      <c r="E11" s="25">
        <f>填写首页!F22</f>
        <v/>
      </c>
      <c r="F11" s="25">
        <f>填写首页!G22</f>
        <v/>
      </c>
      <c r="G11" s="25">
        <f>IF(填写首页!G22="计入套装BOM",C11,0)</f>
        <v/>
      </c>
      <c r="H11" s="25">
        <f>IF(填写首页!G22="计入独立物流",C11,0)</f>
        <v/>
      </c>
      <c r="I11" s="25">
        <f>IF(填写首页!G22="客户单独报价",C11,0)</f>
        <v/>
      </c>
      <c r="J11" s="25">
        <f>IF(填写首页!H22="是",C11,0)</f>
        <v/>
      </c>
      <c r="K11" s="25">
        <f>IF(AND(D11="到尼厂入库成本",E11="中国配件发尼厂后配套"),"中国段已含，不再加中转物流",IF(AND(E11="中国配件直发客户",F11="计入套装BOM"),"路径冲突：直发客户不应进套装BOM",""))</f>
        <v/>
      </c>
    </row>
    <row r="12">
      <c r="A12" s="25">
        <f>填写首页!A23</f>
        <v/>
      </c>
      <c r="B12" s="25">
        <f>填写首页!B23</f>
        <v/>
      </c>
      <c r="C12" s="25">
        <f>填写首页!I23</f>
        <v/>
      </c>
      <c r="D12" s="25">
        <f>填写首页!E23</f>
        <v/>
      </c>
      <c r="E12" s="25">
        <f>填写首页!F23</f>
        <v/>
      </c>
      <c r="F12" s="25">
        <f>填写首页!G23</f>
        <v/>
      </c>
      <c r="G12" s="25">
        <f>IF(填写首页!G23="计入套装BOM",C12,0)</f>
        <v/>
      </c>
      <c r="H12" s="25">
        <f>IF(填写首页!G23="计入独立物流",C12,0)</f>
        <v/>
      </c>
      <c r="I12" s="25">
        <f>IF(填写首页!G23="客户单独报价",C12,0)</f>
        <v/>
      </c>
      <c r="J12" s="25">
        <f>IF(填写首页!H23="是",C12,0)</f>
        <v/>
      </c>
      <c r="K12" s="25">
        <f>IF(AND(D12="到尼厂入库成本",E12="中国配件发尼厂后配套"),"中国段已含，不再加中转物流",IF(AND(E12="中国配件直发客户",F12="计入套装BOM"),"路径冲突：直发客户不应进套装BOM",""))</f>
        <v/>
      </c>
    </row>
    <row r="13">
      <c r="A13" s="25">
        <f>填写首页!A24</f>
        <v/>
      </c>
      <c r="B13" s="25">
        <f>填写首页!B24</f>
        <v/>
      </c>
      <c r="C13" s="25">
        <f>填写首页!I24</f>
        <v/>
      </c>
      <c r="D13" s="25">
        <f>填写首页!E24</f>
        <v/>
      </c>
      <c r="E13" s="25">
        <f>填写首页!F24</f>
        <v/>
      </c>
      <c r="F13" s="25">
        <f>填写首页!G24</f>
        <v/>
      </c>
      <c r="G13" s="25">
        <f>IF(填写首页!G24="计入套装BOM",C13,0)</f>
        <v/>
      </c>
      <c r="H13" s="25">
        <f>IF(填写首页!G24="计入独立物流",C13,0)</f>
        <v/>
      </c>
      <c r="I13" s="25">
        <f>IF(填写首页!G24="客户单独报价",C13,0)</f>
        <v/>
      </c>
      <c r="J13" s="25">
        <f>IF(填写首页!H24="是",C13,0)</f>
        <v/>
      </c>
      <c r="K13" s="25">
        <f>IF(AND(D13="到尼厂入库成本",E13="中国配件发尼厂后配套"),"中国段已含，不再加中转物流",IF(AND(E13="中国配件直发客户",F13="计入套装BOM"),"路径冲突：直发客户不应进套装BOM",""))</f>
        <v/>
      </c>
    </row>
    <row r="14">
      <c r="A14" s="25">
        <f>填写首页!A25</f>
        <v/>
      </c>
      <c r="B14" s="25">
        <f>填写首页!B25</f>
        <v/>
      </c>
      <c r="C14" s="25">
        <f>填写首页!I25</f>
        <v/>
      </c>
      <c r="D14" s="25">
        <f>填写首页!E25</f>
        <v/>
      </c>
      <c r="E14" s="25">
        <f>填写首页!F25</f>
        <v/>
      </c>
      <c r="F14" s="25">
        <f>填写首页!G25</f>
        <v/>
      </c>
      <c r="G14" s="25">
        <f>IF(填写首页!G25="计入套装BOM",C14,0)</f>
        <v/>
      </c>
      <c r="H14" s="25">
        <f>IF(填写首页!G25="计入独立物流",C14,0)</f>
        <v/>
      </c>
      <c r="I14" s="25">
        <f>IF(填写首页!G25="客户单独报价",C14,0)</f>
        <v/>
      </c>
      <c r="J14" s="25">
        <f>IF(填写首页!H25="是",C14,0)</f>
        <v/>
      </c>
      <c r="K14" s="25">
        <f>IF(AND(D14="到尼厂入库成本",E14="中国配件发尼厂后配套"),"中国段已含，不再加中转物流",IF(AND(E14="中国配件直发客户",F14="计入套装BOM"),"路径冲突：直发客户不应进套装BOM",""))</f>
        <v/>
      </c>
    </row>
    <row r="15">
      <c r="A15" s="25">
        <f>填写首页!A26</f>
        <v/>
      </c>
      <c r="B15" s="25">
        <f>填写首页!B26</f>
        <v/>
      </c>
      <c r="C15" s="25">
        <f>填写首页!I26</f>
        <v/>
      </c>
      <c r="D15" s="25">
        <f>填写首页!E26</f>
        <v/>
      </c>
      <c r="E15" s="25">
        <f>填写首页!F26</f>
        <v/>
      </c>
      <c r="F15" s="25">
        <f>填写首页!G26</f>
        <v/>
      </c>
      <c r="G15" s="25">
        <f>IF(填写首页!G26="计入套装BOM",C15,0)</f>
        <v/>
      </c>
      <c r="H15" s="25">
        <f>IF(填写首页!G26="计入独立物流",C15,0)</f>
        <v/>
      </c>
      <c r="I15" s="25">
        <f>IF(填写首页!G26="客户单独报价",C15,0)</f>
        <v/>
      </c>
      <c r="J15" s="25">
        <f>IF(填写首页!H26="是",C15,0)</f>
        <v/>
      </c>
      <c r="K15" s="25">
        <f>IF(AND(D15="到尼厂入库成本",E15="中国配件发尼厂后配套"),"中国段已含，不再加中转物流",IF(AND(E15="中国配件直发客户",F15="计入套装BOM"),"路径冲突：直发客户不应进套装BOM",""))</f>
        <v/>
      </c>
    </row>
    <row r="16">
      <c r="A16" s="25">
        <f>填写首页!A27</f>
        <v/>
      </c>
      <c r="B16" s="25">
        <f>填写首页!B27</f>
        <v/>
      </c>
      <c r="C16" s="25">
        <f>填写首页!I27</f>
        <v/>
      </c>
      <c r="D16" s="25">
        <f>填写首页!E27</f>
        <v/>
      </c>
      <c r="E16" s="25">
        <f>填写首页!F27</f>
        <v/>
      </c>
      <c r="F16" s="25">
        <f>填写首页!G27</f>
        <v/>
      </c>
      <c r="G16" s="25">
        <f>IF(填写首页!G27="计入套装BOM",C16,0)</f>
        <v/>
      </c>
      <c r="H16" s="25">
        <f>IF(填写首页!G27="计入独立物流",C16,0)</f>
        <v/>
      </c>
      <c r="I16" s="25">
        <f>IF(填写首页!G27="客户单独报价",C16,0)</f>
        <v/>
      </c>
      <c r="J16" s="25">
        <f>IF(填写首页!H27="是",C16,0)</f>
        <v/>
      </c>
      <c r="K16" s="25">
        <f>IF(AND(D16="到尼厂入库成本",E16="中国配件发尼厂后配套"),"中国段已含，不再加中转物流",IF(AND(E16="中国配件直发客户",F16="计入套装BOM"),"路径冲突：直发客户不应进套装BOM",""))</f>
        <v/>
      </c>
    </row>
    <row r="17">
      <c r="A17" s="25">
        <f>填写首页!A28</f>
        <v/>
      </c>
      <c r="B17" s="25">
        <f>填写首页!B28</f>
        <v/>
      </c>
      <c r="C17" s="25">
        <f>填写首页!I28</f>
        <v/>
      </c>
      <c r="D17" s="25">
        <f>填写首页!E28</f>
        <v/>
      </c>
      <c r="E17" s="25">
        <f>填写首页!F28</f>
        <v/>
      </c>
      <c r="F17" s="25">
        <f>填写首页!G28</f>
        <v/>
      </c>
      <c r="G17" s="25">
        <f>IF(填写首页!G28="计入套装BOM",C17,0)</f>
        <v/>
      </c>
      <c r="H17" s="25">
        <f>IF(填写首页!G28="计入独立物流",C17,0)</f>
        <v/>
      </c>
      <c r="I17" s="25">
        <f>IF(填写首页!G28="客户单独报价",C17,0)</f>
        <v/>
      </c>
      <c r="J17" s="25">
        <f>IF(填写首页!H28="是",C17,0)</f>
        <v/>
      </c>
      <c r="K17" s="25">
        <f>IF(AND(D17="到尼厂入库成本",E17="中国配件发尼厂后配套"),"中国段已含，不再加中转物流",IF(AND(E17="中国配件直发客户",F17="计入套装BOM"),"路径冲突：直发客户不应进套装BOM",""))</f>
        <v/>
      </c>
    </row>
    <row r="18">
      <c r="A18" s="25">
        <f>填写首页!A29</f>
        <v/>
      </c>
      <c r="B18" s="25">
        <f>填写首页!B29</f>
        <v/>
      </c>
      <c r="C18" s="25">
        <f>填写首页!I29</f>
        <v/>
      </c>
      <c r="D18" s="25">
        <f>填写首页!E29</f>
        <v/>
      </c>
      <c r="E18" s="25">
        <f>填写首页!F29</f>
        <v/>
      </c>
      <c r="F18" s="25">
        <f>填写首页!G29</f>
        <v/>
      </c>
      <c r="G18" s="25">
        <f>IF(填写首页!G29="计入套装BOM",C18,0)</f>
        <v/>
      </c>
      <c r="H18" s="25">
        <f>IF(填写首页!G29="计入独立物流",C18,0)</f>
        <v/>
      </c>
      <c r="I18" s="25">
        <f>IF(填写首页!G29="客户单独报价",C18,0)</f>
        <v/>
      </c>
      <c r="J18" s="25">
        <f>IF(填写首页!H29="是",C18,0)</f>
        <v/>
      </c>
      <c r="K18" s="25">
        <f>IF(AND(D18="到尼厂入库成本",E18="中国配件发尼厂后配套"),"中国段已含，不再加中转物流",IF(AND(E18="中国配件直发客户",F18="计入套装BOM"),"路径冲突：直发客户不应进套装BOM",""))</f>
        <v/>
      </c>
    </row>
    <row r="19">
      <c r="A19" s="25">
        <f>填写首页!A30</f>
        <v/>
      </c>
      <c r="B19" s="25">
        <f>填写首页!B30</f>
        <v/>
      </c>
      <c r="C19" s="25">
        <f>填写首页!I30</f>
        <v/>
      </c>
      <c r="D19" s="25">
        <f>填写首页!E30</f>
        <v/>
      </c>
      <c r="E19" s="25">
        <f>填写首页!F30</f>
        <v/>
      </c>
      <c r="F19" s="25">
        <f>填写首页!G30</f>
        <v/>
      </c>
      <c r="G19" s="25">
        <f>IF(填写首页!G30="计入套装BOM",C19,0)</f>
        <v/>
      </c>
      <c r="H19" s="25">
        <f>IF(填写首页!G30="计入独立物流",C19,0)</f>
        <v/>
      </c>
      <c r="I19" s="25">
        <f>IF(填写首页!G30="客户单独报价",C19,0)</f>
        <v/>
      </c>
      <c r="J19" s="25">
        <f>IF(填写首页!H30="是",C19,0)</f>
        <v/>
      </c>
      <c r="K19" s="25">
        <f>IF(AND(D19="到尼厂入库成本",E19="中国配件发尼厂后配套"),"中国段已含，不再加中转物流",IF(AND(E19="中国配件直发客户",F19="计入套装BOM"),"路径冲突：直发客户不应进套装BOM",""))</f>
        <v/>
      </c>
    </row>
    <row r="20">
      <c r="A20" s="25">
        <f>填写首页!A31</f>
        <v/>
      </c>
      <c r="B20" s="25">
        <f>填写首页!B31</f>
        <v/>
      </c>
      <c r="C20" s="25">
        <f>填写首页!I31</f>
        <v/>
      </c>
      <c r="D20" s="25">
        <f>填写首页!E31</f>
        <v/>
      </c>
      <c r="E20" s="25">
        <f>填写首页!F31</f>
        <v/>
      </c>
      <c r="F20" s="25">
        <f>填写首页!G31</f>
        <v/>
      </c>
      <c r="G20" s="25">
        <f>IF(填写首页!G31="计入套装BOM",C20,0)</f>
        <v/>
      </c>
      <c r="H20" s="25">
        <f>IF(填写首页!G31="计入独立物流",C20,0)</f>
        <v/>
      </c>
      <c r="I20" s="25">
        <f>IF(填写首页!G31="客户单独报价",C20,0)</f>
        <v/>
      </c>
      <c r="J20" s="25">
        <f>IF(填写首页!H31="是",C20,0)</f>
        <v/>
      </c>
      <c r="K20" s="25">
        <f>IF(AND(D20="到尼厂入库成本",E20="中国配件发尼厂后配套"),"中国段已含，不再加中转物流",IF(AND(E20="中国配件直发客户",F20="计入套装BOM"),"路径冲突：直发客户不应进套装BOM",""))</f>
        <v/>
      </c>
    </row>
    <row r="21">
      <c r="A21" s="25">
        <f>填写首页!A32</f>
        <v/>
      </c>
      <c r="B21" s="25">
        <f>填写首页!B32</f>
        <v/>
      </c>
      <c r="C21" s="25">
        <f>填写首页!I32</f>
        <v/>
      </c>
      <c r="D21" s="25">
        <f>填写首页!E32</f>
        <v/>
      </c>
      <c r="E21" s="25">
        <f>填写首页!F32</f>
        <v/>
      </c>
      <c r="F21" s="25">
        <f>填写首页!G32</f>
        <v/>
      </c>
      <c r="G21" s="25">
        <f>IF(填写首页!G32="计入套装BOM",C21,0)</f>
        <v/>
      </c>
      <c r="H21" s="25">
        <f>IF(填写首页!G32="计入独立物流",C21,0)</f>
        <v/>
      </c>
      <c r="I21" s="25">
        <f>IF(填写首页!G32="客户单独报价",C21,0)</f>
        <v/>
      </c>
      <c r="J21" s="25">
        <f>IF(填写首页!H32="是",C21,0)</f>
        <v/>
      </c>
      <c r="K21" s="25">
        <f>IF(AND(D21="到尼厂入库成本",E21="中国配件发尼厂后配套"),"中国段已含，不再加中转物流",IF(AND(E21="中国配件直发客户",F21="计入套装BOM"),"路径冲突：直发客户不应进套装BOM",""))</f>
        <v/>
      </c>
    </row>
    <row r="22">
      <c r="A22" s="25">
        <f>填写首页!A33</f>
        <v/>
      </c>
      <c r="B22" s="25">
        <f>填写首页!B33</f>
        <v/>
      </c>
      <c r="C22" s="25">
        <f>填写首页!I33</f>
        <v/>
      </c>
      <c r="D22" s="25">
        <f>填写首页!E33</f>
        <v/>
      </c>
      <c r="E22" s="25">
        <f>填写首页!F33</f>
        <v/>
      </c>
      <c r="F22" s="25">
        <f>填写首页!G33</f>
        <v/>
      </c>
      <c r="G22" s="25">
        <f>IF(填写首页!G33="计入套装BOM",C22,0)</f>
        <v/>
      </c>
      <c r="H22" s="25">
        <f>IF(填写首页!G33="计入独立物流",C22,0)</f>
        <v/>
      </c>
      <c r="I22" s="25">
        <f>IF(填写首页!G33="客户单独报价",C22,0)</f>
        <v/>
      </c>
      <c r="J22" s="25">
        <f>IF(填写首页!H33="是",C22,0)</f>
        <v/>
      </c>
      <c r="K22" s="25">
        <f>IF(AND(D22="到尼厂入库成本",E22="中国配件发尼厂后配套"),"中国段已含，不再加中转物流",IF(AND(E22="中国配件直发客户",F22="计入套装BOM"),"路径冲突：直发客户不应进套装BOM",""))</f>
        <v/>
      </c>
    </row>
    <row r="23">
      <c r="A23" s="25">
        <f>填写首页!A34</f>
        <v/>
      </c>
      <c r="B23" s="25">
        <f>填写首页!B34</f>
        <v/>
      </c>
      <c r="C23" s="25">
        <f>填写首页!I34</f>
        <v/>
      </c>
      <c r="D23" s="25">
        <f>填写首页!E34</f>
        <v/>
      </c>
      <c r="E23" s="25">
        <f>填写首页!F34</f>
        <v/>
      </c>
      <c r="F23" s="25">
        <f>填写首页!G34</f>
        <v/>
      </c>
      <c r="G23" s="25">
        <f>IF(填写首页!G34="计入套装BOM",C23,0)</f>
        <v/>
      </c>
      <c r="H23" s="25">
        <f>IF(填写首页!G34="计入独立物流",C23,0)</f>
        <v/>
      </c>
      <c r="I23" s="25">
        <f>IF(填写首页!G34="客户单独报价",C23,0)</f>
        <v/>
      </c>
      <c r="J23" s="25">
        <f>IF(填写首页!H34="是",C23,0)</f>
        <v/>
      </c>
      <c r="K23" s="25">
        <f>IF(AND(D23="到尼厂入库成本",E23="中国配件发尼厂后配套"),"中国段已含，不再加中转物流",IF(AND(E23="中国配件直发客户",F23="计入套装BOM"),"路径冲突：直发客户不应进套装BOM",""))</f>
        <v/>
      </c>
    </row>
    <row r="24">
      <c r="A24" s="15" t="inlineStr">
        <is>
          <t>成本小计</t>
        </is>
      </c>
      <c r="B24" s="15" t="inlineStr"/>
      <c r="C24" s="25">
        <f>SUM(C2:C23)</f>
        <v/>
      </c>
      <c r="D24" s="15" t="inlineStr"/>
      <c r="E24" s="15" t="inlineStr"/>
      <c r="F24" s="15" t="inlineStr"/>
      <c r="G24" s="25">
        <f>SUM(G2:G23)</f>
        <v/>
      </c>
      <c r="H24" s="25">
        <f>SUM(H2:H23)</f>
        <v/>
      </c>
      <c r="I24" s="25">
        <f>SUM(I2:I23)</f>
        <v/>
      </c>
      <c r="J24" s="25">
        <f>SUM(J2:J23)</f>
        <v/>
      </c>
      <c r="K24" s="15" t="inlineStr"/>
    </row>
    <row r="25">
      <c r="A25" s="15" t="inlineStr">
        <is>
          <t>总计</t>
        </is>
      </c>
      <c r="B25" s="15" t="inlineStr"/>
      <c r="C25" s="25">
        <f>C24</f>
        <v/>
      </c>
      <c r="D25" s="15" t="inlineStr"/>
      <c r="E25" s="15" t="inlineStr"/>
      <c r="F25" s="15" t="inlineStr"/>
      <c r="G25" s="25">
        <f>G24</f>
        <v/>
      </c>
      <c r="H25" s="25">
        <f>H24</f>
        <v/>
      </c>
      <c r="I25" s="25">
        <f>I24</f>
        <v/>
      </c>
      <c r="J25" s="25">
        <f>J24</f>
        <v/>
      </c>
      <c r="K25" s="1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E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12" customWidth="1" min="4" max="4"/>
    <col width="18" customWidth="1" min="5" max="5"/>
    <col width="14" customWidth="1" min="6" max="6"/>
    <col width="18" customWidth="1" min="7" max="7"/>
    <col width="12" customWidth="1" min="8" max="8"/>
    <col width="16" customWidth="1" min="9" max="9"/>
    <col width="14" customWidth="1" min="10" max="10"/>
    <col width="10" customWidth="1" min="11" max="11"/>
    <col width="46" customWidth="1" min="12" max="12"/>
  </cols>
  <sheetData>
    <row r="1">
      <c r="A1" s="14" t="inlineStr">
        <is>
          <t>费用名称</t>
        </is>
      </c>
      <c r="B1" s="14" t="inlineStr">
        <is>
          <t>金额RMB</t>
        </is>
      </c>
      <c r="C1" s="14" t="inlineStr">
        <is>
          <t>适用路径</t>
        </is>
      </c>
      <c r="D1" s="14" t="inlineStr">
        <is>
          <t>分摊方式</t>
        </is>
      </c>
      <c r="E1" s="14" t="inlineStr">
        <is>
          <t>分摊基数来源</t>
        </is>
      </c>
      <c r="F1" s="14" t="inlineStr">
        <is>
          <t>手动分摊基数</t>
        </is>
      </c>
      <c r="G1" s="14" t="inlineStr">
        <is>
          <t>生效分摊基数/装柜量</t>
        </is>
      </c>
      <c r="H1" s="14" t="inlineStr">
        <is>
          <t>预计柜数</t>
        </is>
      </c>
      <c r="I1" s="14" t="inlineStr">
        <is>
          <t>手动单件物流RMB</t>
        </is>
      </c>
      <c r="J1" s="14" t="inlineStr">
        <is>
          <t>单件摊销RMB</t>
        </is>
      </c>
      <c r="K1" s="14" t="inlineStr">
        <is>
          <t>是否启用</t>
        </is>
      </c>
      <c r="L1" s="14" t="inlineStr">
        <is>
          <t>备注</t>
        </is>
      </c>
    </row>
    <row r="2">
      <c r="A2" s="15" t="inlineStr">
        <is>
          <t>尼日利亚出货物流</t>
        </is>
      </c>
      <c r="B2" s="15" t="n">
        <v>10000</v>
      </c>
      <c r="C2" s="15" t="inlineStr">
        <is>
          <t>尼日利亚工厂配套后出货</t>
        </is>
      </c>
      <c r="D2" s="15" t="inlineStr">
        <is>
          <t>按柜</t>
        </is>
      </c>
      <c r="E2" s="17" t="inlineStr">
        <is>
          <t>按订单实际柜数摊销</t>
        </is>
      </c>
      <c r="F2" s="16">
        <f>'填写首页'!$B$8</f>
        <v/>
      </c>
      <c r="G2" s="18">
        <f>IF($E2="手动分摊基数",N($F2),IFERROR(IF(装柜测算!$F$11="",N($F2),装柜测算!$F$11),N($F2)))</f>
        <v/>
      </c>
      <c r="H2" s="18">
        <f>IF(AND($D2="按柜",$E2="按订单实际柜数摊销"),ROUNDUP(填写首页!$D$5/MAX($G2,1),0),"")</f>
        <v/>
      </c>
      <c r="I2" s="17" t="inlineStr"/>
      <c r="J2" s="18">
        <f>IF($K2&lt;&gt;"是",0,IF(N($I2)&gt;0,$I2,IF($D2="按柜",IF($E2="按订单实际柜数摊销",$B2*MAX($H2,1)/MAX(填写首页!$D$5,1),$B2/MAX($G2,1)),IF($D2="按件",$B2,IF($D2="按CBM",$B2*$G2,IF($D2="按金额比例",$B2*$G2,0))))))</f>
        <v/>
      </c>
      <c r="K2" s="15" t="inlineStr">
        <is>
          <t>是</t>
        </is>
      </c>
      <c r="L2" s="15" t="inlineStr">
        <is>
          <t>默认按订单实际柜数摊销；包装信息未填时回退首页默认装柜量</t>
        </is>
      </c>
    </row>
    <row r="3">
      <c r="A3" s="15" t="inlineStr">
        <is>
          <t>尼日利亚本地采购配套物流</t>
        </is>
      </c>
      <c r="B3" s="15" t="n">
        <v>0</v>
      </c>
      <c r="C3" s="15" t="inlineStr">
        <is>
          <t>尼日利亚本地采购配套</t>
        </is>
      </c>
      <c r="D3" s="15" t="inlineStr">
        <is>
          <t>按件</t>
        </is>
      </c>
      <c r="E3" s="17" t="inlineStr">
        <is>
          <t>手动分摊基数</t>
        </is>
      </c>
      <c r="F3" s="17" t="n">
        <v>1</v>
      </c>
      <c r="G3" s="18">
        <f>IF($E3="手动分摊基数",N($F3),IFERROR(IF(装柜测算!$F$11="",N($F3),装柜测算!$F$11),N($F3)))</f>
        <v/>
      </c>
      <c r="H3" s="18">
        <f>IF(AND($D3="按柜",$E3="按订单实际柜数摊销"),ROUNDUP(填写首页!$D$5/MAX($G3,1),0),"")</f>
        <v/>
      </c>
      <c r="I3" s="17" t="inlineStr"/>
      <c r="J3" s="18">
        <f>IF($K3&lt;&gt;"是",0,IF(N($I3)&gt;0,$I3,IF($D3="按柜",IF($E3="按订单实际柜数摊销",$B3*MAX($H3,1)/MAX(填写首页!$D$5,1),$B3/MAX($G3,1)),IF($D3="按件",$B3,IF($D3="按CBM",$B3*$G3,IF($D3="按金额比例",$B3*$G3,0))))))</f>
        <v/>
      </c>
      <c r="K3" s="15" t="inlineStr">
        <is>
          <t>否</t>
        </is>
      </c>
      <c r="L3" s="15" t="inlineStr">
        <is>
          <t>本地采购配套默认不按出口整柜重复分摊；如有本地送货/提货费再填金额并启用</t>
        </is>
      </c>
    </row>
    <row r="4">
      <c r="A4" s="15" t="inlineStr">
        <is>
          <t>中国配件直发物流</t>
        </is>
      </c>
      <c r="B4" s="15" t="n">
        <v>11000</v>
      </c>
      <c r="C4" s="15" t="inlineStr">
        <is>
          <t>中国配件直发客户</t>
        </is>
      </c>
      <c r="D4" s="15" t="inlineStr">
        <is>
          <t>按柜</t>
        </is>
      </c>
      <c r="E4" s="17" t="inlineStr">
        <is>
          <t>按订单实际柜数摊销</t>
        </is>
      </c>
      <c r="F4" s="16">
        <f>'填写首页'!$D$8</f>
        <v/>
      </c>
      <c r="G4" s="18">
        <f>IF($E4="手动分摊基数",N($F4),IFERROR(IF(装柜测算!$F$12="",N($F4),装柜测算!$F$12),N($F4)))</f>
        <v/>
      </c>
      <c r="H4" s="18">
        <f>IF(AND($D4="按柜",$E4="按订单实际柜数摊销"),ROUNDUP(填写首页!$D$5/MAX($G4,1),0),"")</f>
        <v/>
      </c>
      <c r="I4" s="17" t="inlineStr"/>
      <c r="J4" s="18">
        <f>IF($K4&lt;&gt;"是",0,IF(N($I4)&gt;0,$I4,IF($D4="按柜",IF($E4="按订单实际柜数摊销",$B4*MAX($H4,1)/MAX(填写首页!$D$5,1),$B4/MAX($G4,1)),IF($D4="按件",$B4,IF($D4="按CBM",$B4*$G4,IF($D4="按金额比例",$B4*$G4,0))))))</f>
        <v/>
      </c>
      <c r="K4" s="15" t="inlineStr">
        <is>
          <t>是</t>
        </is>
      </c>
      <c r="L4" s="15" t="inlineStr">
        <is>
          <t>中国直发客户的默认物流参数；按中国直发组合装柜量</t>
        </is>
      </c>
    </row>
    <row r="5">
      <c r="A5" s="15" t="inlineStr">
        <is>
          <t>中国到尼厂中转物流</t>
        </is>
      </c>
      <c r="B5" s="15" t="n">
        <v>11000</v>
      </c>
      <c r="C5" s="15" t="inlineStr">
        <is>
          <t>中国配件发尼厂后配套</t>
        </is>
      </c>
      <c r="D5" s="15" t="inlineStr">
        <is>
          <t>按柜</t>
        </is>
      </c>
      <c r="E5" s="17" t="inlineStr">
        <is>
          <t>按订单实际柜数摊销</t>
        </is>
      </c>
      <c r="F5" s="16">
        <f>'填写首页'!$D$8</f>
        <v/>
      </c>
      <c r="G5" s="18">
        <f>IF($E5="手动分摊基数",N($F5),IFERROR(IF(装柜测算!$F$15="",N($F5),装柜测算!$F$15),N($F5)))</f>
        <v/>
      </c>
      <c r="H5" s="18">
        <f>IF(AND($D5="按柜",$E5="按订单实际柜数摊销"),ROUNDUP(填写首页!$D$5/MAX($G5,1),0),"")</f>
        <v/>
      </c>
      <c r="I5" s="17" t="inlineStr"/>
      <c r="J5" s="18">
        <f>IF($K5&lt;&gt;"是",0,IF(N($I5)&gt;0,$I5,IF($D5="按柜",IF($E5="按订单实际柜数摊销",$B5*MAX($H5,1)/MAX(填写首页!$D$5,1),$B5/MAX($G5,1)),IF($D5="按件",$B5,IF($D5="按CBM",$B5*$G5,IF($D5="按金额比例",$B5*$G5,0))))))</f>
        <v/>
      </c>
      <c r="K5" s="15" t="inlineStr">
        <is>
          <t>是</t>
        </is>
      </c>
      <c r="L5" s="15" t="inlineStr">
        <is>
          <t>仅当配件不是到尼厂入库成本时计入；按中国发尼厂组合装柜量</t>
        </is>
      </c>
    </row>
    <row r="6">
      <c r="A6" s="15" t="inlineStr">
        <is>
          <t>尼厂到港/装柜/出口杂费</t>
        </is>
      </c>
      <c r="B6" s="15" t="n">
        <v>0</v>
      </c>
      <c r="C6" s="15" t="inlineStr">
        <is>
          <t>尼日利亚工厂配套后出货</t>
        </is>
      </c>
      <c r="D6" s="15" t="inlineStr">
        <is>
          <t>按柜</t>
        </is>
      </c>
      <c r="E6" s="17" t="inlineStr">
        <is>
          <t>按订单实际柜数摊销</t>
        </is>
      </c>
      <c r="F6" s="16">
        <f>'填写首页'!$B$8</f>
        <v/>
      </c>
      <c r="G6" s="18">
        <f>IF($E6="手动分摊基数",N($F6),IFERROR(IF(装柜测算!$F$11="",N($F6),装柜测算!$F$11),N($F6)))</f>
        <v/>
      </c>
      <c r="H6" s="18">
        <f>IF(AND($D6="按柜",$E6="按订单实际柜数摊销"),ROUNDUP(填写首页!$D$5/MAX($G6,1),0),"")</f>
        <v/>
      </c>
      <c r="I6" s="17" t="inlineStr"/>
      <c r="J6" s="18">
        <f>IF($K6&lt;&gt;"是",0,IF(N($I6)&gt;0,$I6,IF($D6="按柜",IF($E6="按订单实际柜数摊销",$B6*MAX($H6,1)/MAX(填写首页!$D$5,1),$B6/MAX($G6,1)),IF($D6="按件",$B6,IF($D6="按CBM",$B6*$G6,IF($D6="按金额比例",$B6*$G6,0))))))</f>
        <v/>
      </c>
      <c r="K6" s="15" t="inlineStr">
        <is>
          <t>否</t>
        </is>
      </c>
      <c r="L6" s="15" t="inlineStr">
        <is>
          <t>尼厂出厂成本但需补本地费用时启用</t>
        </is>
      </c>
    </row>
  </sheetData>
  <dataValidations count="4">
    <dataValidation sqref="C2:C200" showDropDown="0" showInputMessage="0" showErrorMessage="0" allowBlank="0" errorTitle="选项不匹配" error="请选择下拉列表中的标准选项。" type="list">
      <formula1>SupplyPaths</formula1>
    </dataValidation>
    <dataValidation sqref="D2:D200" showDropDown="0" showInputMessage="0" showErrorMessage="0" allowBlank="0" errorTitle="选项不匹配" error="请选择下拉列表中的标准选项。" type="list">
      <formula1>AllocationMethods</formula1>
    </dataValidation>
    <dataValidation sqref="E2:E200" showDropDown="0" showInputMessage="0" showErrorMessage="0" allowBlank="0" errorTitle="选项不匹配" error="请选择下拉列表中的标准选项。" type="list">
      <formula1>LogisticsBasisModes</formula1>
    </dataValidation>
    <dataValidation sqref="K2:K200" showDropDown="0" showInputMessage="0" showErrorMessage="0" allowBlank="0" errorTitle="选项不匹配" error="请选择下拉列表中的标准选项。" type="list">
      <formula1>YesNo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34" customWidth="1" min="6" max="6"/>
  </cols>
  <sheetData>
    <row r="1">
      <c r="A1" s="14" t="inlineStr">
        <is>
          <t>物流路径</t>
        </is>
      </c>
      <c r="B1" s="14" t="inlineStr">
        <is>
          <t>是否触发</t>
        </is>
      </c>
      <c r="C1" s="14" t="inlineStr">
        <is>
          <t>计入BOM物流RMB/件</t>
        </is>
      </c>
      <c r="D1" s="14" t="inlineStr">
        <is>
          <t>独立物流RMB/件</t>
        </is>
      </c>
      <c r="E1" s="14" t="inlineStr">
        <is>
          <t>客户单独物流RMB/件</t>
        </is>
      </c>
      <c r="F1" s="14" t="inlineStr">
        <is>
          <t>说明</t>
        </is>
      </c>
    </row>
    <row r="2">
      <c r="A2" s="15" t="inlineStr">
        <is>
          <t>尼日利亚工厂配套后出货</t>
        </is>
      </c>
      <c r="B2" s="25">
        <f>SUMPRODUCT((填写首页!$F$13:$F$33=A2)*(填写首页!$G$13:$G$33&lt;&gt;"仅参考不计入")*(填写首页!$I$13:$I$33&gt;0))&gt;0</f>
        <v/>
      </c>
      <c r="C2" s="25">
        <f>IF(B2,SUMIFS(物流参数!$J:$J,物流参数!$C:$C,A2,物流参数!$K:$K,"是"),0)</f>
        <v/>
      </c>
      <c r="D2" s="15" t="n">
        <v>0</v>
      </c>
      <c r="E2" s="15" t="n">
        <v>0</v>
      </c>
      <c r="F2" s="15" t="inlineStr">
        <is>
          <t>陶瓷/整套尼日利亚出货物流</t>
        </is>
      </c>
    </row>
    <row r="3">
      <c r="A3" s="15" t="inlineStr">
        <is>
          <t>尼日利亚本地采购配套</t>
        </is>
      </c>
      <c r="B3" s="25">
        <f>SUMPRODUCT((填写首页!$F$13:$F$33=A3)*(填写首页!$G$13:$G$33&lt;&gt;"仅参考不计入")*(填写首页!$I$13:$I$33&gt;0))&gt;0</f>
        <v/>
      </c>
      <c r="C3" s="25">
        <f>IF(B3,SUMIFS(物流参数!$J:$J,物流参数!$C:$C,A3,物流参数!$K:$K,"是"),0)</f>
        <v/>
      </c>
      <c r="D3" s="15" t="n">
        <v>0</v>
      </c>
      <c r="E3" s="15" t="n">
        <v>0</v>
      </c>
      <c r="F3" s="15" t="inlineStr">
        <is>
          <t>本地采购随整套发货</t>
        </is>
      </c>
    </row>
    <row r="4">
      <c r="A4" s="15" t="inlineStr">
        <is>
          <t>中国配件直发客户</t>
        </is>
      </c>
      <c r="B4" s="25">
        <f>SUMPRODUCT((填写首页!$F$13:$F$33=A4)*(填写首页!$G$13:$G$33&lt;&gt;"仅参考不计入")*(填写首页!$I$13:$I$33&gt;0))&gt;0</f>
        <v/>
      </c>
      <c r="C4" s="15" t="n">
        <v>0</v>
      </c>
      <c r="D4" s="25">
        <f>IF(SUMPRODUCT((填写首页!$F$13:$F$33=A4)*(填写首页!$G$13:$G$33="计入独立物流")*(填写首页!$I$13:$I$33&gt;0))&gt;0,SUMIFS(物流参数!$J:$J,物流参数!$C:$C,A4,物流参数!$K:$K,"是"),0)</f>
        <v/>
      </c>
      <c r="E4" s="25">
        <f>IF(SUMPRODUCT((填写首页!$F$13:$F$33=A4)*(填写首页!$G$13:$G$33="客户单独报价")*(填写首页!$I$13:$I$33&gt;0))&gt;0,SUMIFS(物流参数!$J:$J,物流参数!$C:$C,A4,物流参数!$K:$K,"是"),0)</f>
        <v/>
      </c>
      <c r="F4" s="15" t="inlineStr">
        <is>
          <t>中国直发物流，不混入尼日利亚整套物流</t>
        </is>
      </c>
    </row>
    <row r="5">
      <c r="A5" s="15" t="inlineStr">
        <is>
          <t>中国配件发尼厂后配套</t>
        </is>
      </c>
      <c r="B5" s="25">
        <f>SUMPRODUCT((填写首页!$F$13:$F$33=A5)*(填写首页!$E$13:$E$33&lt;&gt;"到尼厂入库成本")*(填写首页!$G$13:$G$33&lt;&gt;"仅参考不计入")*(填写首页!$I$13:$I$33&gt;0))&gt;0</f>
        <v/>
      </c>
      <c r="C5" s="25">
        <f>IF(B5,SUMIFS(物流参数!$J:$J,物流参数!$C:$C,A5,物流参数!$K:$K,"是"),0)</f>
        <v/>
      </c>
      <c r="D5" s="15" t="n">
        <v>0</v>
      </c>
      <c r="E5" s="15" t="n">
        <v>0</v>
      </c>
      <c r="F5" s="15" t="inlineStr">
        <is>
          <t>仅未包含中国到尼厂费用时补中转物流</t>
        </is>
      </c>
    </row>
    <row r="6">
      <c r="A6" s="15" t="inlineStr">
        <is>
          <t>合计</t>
        </is>
      </c>
      <c r="B6" s="15" t="inlineStr"/>
      <c r="C6" s="25">
        <f>SUM(C2:C5)</f>
        <v/>
      </c>
      <c r="D6" s="25">
        <f>SUM(D2:D5)</f>
        <v/>
      </c>
      <c r="E6" s="25">
        <f>SUM(E2:E5)</f>
        <v/>
      </c>
      <c r="F6" s="1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E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2" customWidth="1" min="4" max="4"/>
    <col width="14" customWidth="1" min="5" max="5"/>
    <col width="16" customWidth="1" min="6" max="6"/>
    <col width="18" customWidth="1" min="7" max="7"/>
    <col width="36" customWidth="1" min="8" max="8"/>
  </cols>
  <sheetData>
    <row r="1">
      <c r="A1" s="28" t="inlineStr">
        <is>
          <t>Customer Quotation</t>
        </is>
      </c>
    </row>
    <row r="2"/>
    <row r="3">
      <c r="A3" s="29" t="inlineStr">
        <is>
          <t>Quote No.</t>
        </is>
      </c>
      <c r="B3" s="25">
        <f>填写首页!F4</f>
        <v/>
      </c>
      <c r="C3" s="29" t="inlineStr">
        <is>
          <t>Date</t>
        </is>
      </c>
      <c r="D3" s="30">
        <f>填写首页!H4</f>
        <v/>
      </c>
      <c r="E3" s="29" t="inlineStr">
        <is>
          <t>Customer</t>
        </is>
      </c>
      <c r="F3" s="25">
        <f>IF(填写首页!B4="","",填写首页!B4)</f>
        <v/>
      </c>
      <c r="G3" s="29" t="inlineStr">
        <is>
          <t>Project</t>
        </is>
      </c>
      <c r="H3" s="25">
        <f>IF(填写首页!D4="","",填写首页!D4)</f>
        <v/>
      </c>
    </row>
    <row r="4">
      <c r="A4" s="29" t="inlineStr">
        <is>
          <t>Model</t>
        </is>
      </c>
      <c r="B4" s="25">
        <f>填写首页!B5</f>
        <v/>
      </c>
      <c r="C4" s="29" t="inlineStr">
        <is>
          <t>Quantity</t>
        </is>
      </c>
      <c r="D4" s="25">
        <f>填写首页!D5</f>
        <v/>
      </c>
      <c r="E4" s="29" t="inlineStr">
        <is>
          <t>Currency</t>
        </is>
      </c>
      <c r="F4" s="25">
        <f>填写首页!J4</f>
        <v/>
      </c>
      <c r="G4" s="29" t="inlineStr">
        <is>
          <t>Trade Term</t>
        </is>
      </c>
      <c r="H4" s="25">
        <f>IF(填写首页!B6="FOB尼日利亚港","FOB Nigeria Port",IF(填写首页!B6="CFR目的港","CFR Destination Port",IF(填写首页!B6="CIF目的港","CIF Destination Port",IF(填写首页!B6="FOB中国港","FOB China Port",IF(填写首页!B6="手动项目报价","Manual Project Quote",填写首页!B6)))))</f>
        <v/>
      </c>
    </row>
    <row r="5">
      <c r="A5" s="29" t="inlineStr">
        <is>
          <t>Destination Port</t>
        </is>
      </c>
      <c r="B5" s="25">
        <f>填写首页!D6</f>
        <v/>
      </c>
      <c r="C5" s="29" t="inlineStr">
        <is>
          <t>Display Mode</t>
        </is>
      </c>
      <c r="D5" s="25">
        <f>IF(填写首页!F6="套装总价","Total Set Price",IF(填写首页!F6="分项报价","Itemized Price",填写首页!F6))</f>
        <v/>
      </c>
      <c r="E5" s="29" t="inlineStr">
        <is>
          <t>Validity</t>
        </is>
      </c>
      <c r="F5" s="15" t="inlineStr"/>
      <c r="G5" s="29" t="inlineStr">
        <is>
          <t>Remark</t>
        </is>
      </c>
      <c r="H5" s="25">
        <f>IF(填写首页!H8="","",填写首页!H8)</f>
        <v/>
      </c>
    </row>
    <row r="6">
      <c r="A6" s="29" t="inlineStr">
        <is>
          <t>Packing Dimension</t>
        </is>
      </c>
      <c r="B6" s="25">
        <f>IFERROR(IF(OR(INDEX(产品包装信息!$I$5:$I$25,MATCH("toilet bowl/pan马桶",产品包装信息!$B$5:$B$25,0))="",INDEX(产品包装信息!$J$5:$J$25,MATCH("toilet bowl/pan马桶",产品包装信息!$B$5:$B$25,0))="",INDEX(产品包装信息!$K$5:$K$25,MATCH("toilet bowl/pan马桶",产品包装信息!$B$5:$B$25,0))=""),"",INDEX(产品包装信息!$I$5:$I$25,MATCH("toilet bowl/pan马桶",产品包装信息!$B$5:$B$25,0))&amp;" x "&amp;INDEX(产品包装信息!$J$5:$J$25,MATCH("toilet bowl/pan马桶",产品包装信息!$B$5:$B$25,0))&amp;" x "&amp;INDEX(产品包装信息!$K$5:$K$25,MATCH("toilet bowl/pan马桶",产品包装信息!$B$5:$B$25,0))&amp;" mm"),"")</f>
        <v/>
      </c>
      <c r="C6" s="29" t="inlineStr">
        <is>
          <t>Gross Weight</t>
        </is>
      </c>
      <c r="D6" s="25">
        <f>IFERROR(IF(INDEX(产品包装信息!$L$5:$L$25,MATCH("toilet bowl/pan马桶",产品包装信息!$B$5:$B$25,0))="","",INDEX(产品包装信息!$L$5:$L$25,MATCH("toilet bowl/pan马桶",产品包装信息!$B$5:$B$25,0))&amp;" kg/carton"),"")</f>
        <v/>
      </c>
      <c r="E6" s="29" t="inlineStr">
        <is>
          <t>PCS/Carton</t>
        </is>
      </c>
      <c r="F6" s="25">
        <f>IFERROR(IF(INDEX(产品包装信息!$H$5:$H$25,MATCH("toilet bowl/pan马桶",产品包装信息!$B$5:$B$25,0))="","",INDEX(产品包装信息!$H$5:$H$25,MATCH("toilet bowl/pan马桶",产品包装信息!$B$5:$B$25,0))),"")</f>
        <v/>
      </c>
      <c r="G6" s="29" t="inlineStr">
        <is>
          <t>CBM/PCS</t>
        </is>
      </c>
      <c r="H6" s="25">
        <f>IFERROR(IF(INDEX(产品包装信息!$N$5:$N$25,MATCH("toilet bowl/pan马桶",产品包装信息!$B$5:$B$25,0))="","",INDEX(产品包装信息!$N$5:$N$25,MATCH("toilet bowl/pan马桶",产品包装信息!$B$5:$B$25,0))),"")</f>
        <v/>
      </c>
    </row>
    <row r="7"/>
    <row r="8">
      <c r="A8" s="31" t="inlineStr">
        <is>
          <t>Line</t>
        </is>
      </c>
      <c r="B8" s="31" t="inlineStr">
        <is>
          <t>Description</t>
        </is>
      </c>
      <c r="C8" s="31" t="inlineStr">
        <is>
          <t>Origin / Path</t>
        </is>
      </c>
      <c r="D8" s="31" t="inlineStr">
        <is>
          <t>Qty</t>
        </is>
      </c>
      <c r="E8" s="31" t="inlineStr">
        <is>
          <t>Unit Price</t>
        </is>
      </c>
      <c r="F8" s="31" t="inlineStr">
        <is>
          <t>Total Amount</t>
        </is>
      </c>
      <c r="G8" s="31" t="inlineStr">
        <is>
          <t>Trade Term</t>
        </is>
      </c>
      <c r="H8" s="31" t="inlineStr">
        <is>
          <t>Remark</t>
        </is>
      </c>
    </row>
    <row r="9">
      <c r="A9" s="15" t="n">
        <v>1</v>
      </c>
      <c r="B9" s="25">
        <f>IF(填写首页!F6="套装总价","Complete set total","Ceramic / complete set")</f>
        <v/>
      </c>
      <c r="C9" s="15" t="inlineStr">
        <is>
          <t>Nigeria origin / set shipment</t>
        </is>
      </c>
      <c r="D9" s="25">
        <f>填写首页!D5</f>
        <v/>
      </c>
      <c r="E9" s="25">
        <f>IF(填写首页!F6="套装总价",IF(填写首页!J4="RMB",InternalCost!F8,InternalCost!F9),IF(填写首页!J4="RMB",InternalCost!B8,InternalCost!B9))</f>
        <v/>
      </c>
      <c r="F9" s="25">
        <f>D9*E9</f>
        <v/>
      </c>
      <c r="G9" s="25">
        <f>IF(填写首页!B6="FOB尼日利亚港","FOB Nigeria Port",IF(填写首页!B6="CFR目的港","CFR Destination Port",IF(填写首页!B6="CIF目的港","CIF Destination Port",IF(填写首页!B6="FOB中国港","FOB China Port",IF(填写首页!B6="手动项目报价","Manual Project Quote",填写首页!B6)))))</f>
        <v/>
      </c>
      <c r="H9" s="25">
        <f>IF(填写首页!F6="套装总价","Total display; internal BOM remains separated","")</f>
        <v/>
      </c>
    </row>
    <row r="10">
      <c r="A10" s="15" t="n">
        <v>2</v>
      </c>
      <c r="B10" s="25">
        <f>IF(填写首页!F6="分项报价","China accessory separate quote","")</f>
        <v/>
      </c>
      <c r="C10" s="25">
        <f>IF(填写首页!F6="分项报价","China origin / direct or separate path","")</f>
        <v/>
      </c>
      <c r="D10" s="25">
        <f>IF(填写首页!F6="分项报价",填写首页!D5,"")</f>
        <v/>
      </c>
      <c r="E10" s="25">
        <f>IF(填写首页!F6="分项报价",IF(填写首页!J4="RMB",InternalCost!D8,InternalCost!D9),"")</f>
        <v/>
      </c>
      <c r="F10" s="25">
        <f>IF(填写首页!F6="分项报价",D10*E10,"")</f>
        <v/>
      </c>
      <c r="G10" s="25">
        <f>IF(填写首页!F6="分项报价","FOB China Port / as agreed","")</f>
        <v/>
      </c>
      <c r="H10" s="15" t="inlineStr"/>
    </row>
    <row r="11"/>
    <row r="12"/>
    <row r="13">
      <c r="A13" t="inlineStr">
        <is>
          <t>Terms</t>
        </is>
      </c>
    </row>
    <row r="14">
      <c r="A14" t="inlineStr">
        <is>
          <t>1. This customer version hides internal cost, supplier, margin and approval information.</t>
        </is>
      </c>
    </row>
    <row r="15">
      <c r="A15" t="inlineStr">
        <is>
          <t>2. CIF quotation requires insurance confirmation. DDP is not an automatic quotation term.</t>
        </is>
      </c>
    </row>
    <row r="16">
      <c r="A16" t="inlineStr">
        <is>
          <t>3. Final price is subject to product confirmation, valid quotation period, and shipping schedule.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E0"/>
  <mergeCells count="4">
    <mergeCell ref="A15:H15"/>
    <mergeCell ref="A16:H16"/>
    <mergeCell ref="A14:H14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8" customWidth="1" min="4" max="4"/>
    <col width="24" customWidth="1" min="5" max="5"/>
    <col width="18" customWidth="1" min="6" max="6"/>
  </cols>
  <sheetData>
    <row r="1">
      <c r="A1" s="1" t="inlineStr">
        <is>
          <t>内部复核版</t>
        </is>
      </c>
    </row>
    <row r="2"/>
    <row r="3">
      <c r="A3" s="10" t="inlineStr">
        <is>
          <t>订单数量</t>
        </is>
      </c>
      <c r="B3" s="25">
        <f>填写首页!D5</f>
        <v/>
      </c>
      <c r="C3" s="10" t="inlineStr">
        <is>
          <t>报价汇率</t>
        </is>
      </c>
      <c r="D3" s="25">
        <f>填写首页!F5</f>
        <v/>
      </c>
      <c r="E3" s="10" t="inlineStr">
        <is>
          <t>客户条款</t>
        </is>
      </c>
      <c r="F3" s="25">
        <f>填写首页!B6</f>
        <v/>
      </c>
    </row>
    <row r="4">
      <c r="A4" s="10" t="inlineStr">
        <is>
          <t>套装BOM成本RMB/件</t>
        </is>
      </c>
      <c r="B4" s="25">
        <f>BOM!G25</f>
        <v/>
      </c>
      <c r="C4" s="10" t="inlineStr">
        <is>
          <t>客户单独报价物料成本RMB/件</t>
        </is>
      </c>
      <c r="D4" s="25">
        <f>BOM!I25</f>
        <v/>
      </c>
      <c r="E4" s="10" t="inlineStr">
        <is>
          <t>独立物流RMB/件</t>
        </is>
      </c>
      <c r="F4" s="25">
        <f>BOM!H25+物流测算!D6</f>
        <v/>
      </c>
    </row>
    <row r="5">
      <c r="A5" s="10" t="inlineStr">
        <is>
          <t>套装物流成本RMB/件</t>
        </is>
      </c>
      <c r="B5" s="25">
        <f>BOM!C23</f>
        <v/>
      </c>
      <c r="C5" s="10" t="inlineStr">
        <is>
          <t>套装加价基准成本RMB/件</t>
        </is>
      </c>
      <c r="D5" s="25">
        <f>MAX(B4-B5,0)</f>
        <v/>
      </c>
      <c r="E5" s="10" t="inlineStr">
        <is>
          <t>目标成本加价率</t>
        </is>
      </c>
      <c r="F5" s="25">
        <f>填写首页!H5</f>
        <v/>
      </c>
    </row>
    <row r="6">
      <c r="A6" s="10" t="inlineStr">
        <is>
          <t>客户单独物流RMB/件</t>
        </is>
      </c>
      <c r="B6" s="25">
        <f>物流测算!E6</f>
        <v/>
      </c>
      <c r="C6" s="10" t="inlineStr">
        <is>
          <t>客户单独加价基准成本RMB/件</t>
        </is>
      </c>
      <c r="D6" s="25">
        <f>D4</f>
        <v/>
      </c>
      <c r="E6" s="10" t="inlineStr">
        <is>
          <t>外购件成本加价率</t>
        </is>
      </c>
      <c r="F6" s="25">
        <f>填写首页!H6</f>
        <v/>
      </c>
    </row>
    <row r="7">
      <c r="A7" s="10" t="inlineStr">
        <is>
          <t>套装目标利润RMB/件</t>
        </is>
      </c>
      <c r="B7" s="25">
        <f>D5*F5</f>
        <v/>
      </c>
      <c r="C7" s="10" t="inlineStr">
        <is>
          <t>客户单独报价目标利润RMB/件</t>
        </is>
      </c>
      <c r="D7" s="25">
        <f>D6*F6</f>
        <v/>
      </c>
      <c r="E7" s="10" t="inlineStr">
        <is>
          <t>整体目标利润RMB/件</t>
        </is>
      </c>
      <c r="F7" s="25">
        <f>B7+D7</f>
        <v/>
      </c>
    </row>
    <row r="8">
      <c r="A8" s="10" t="inlineStr">
        <is>
          <t>套装目标销售RMB/件</t>
        </is>
      </c>
      <c r="B8" s="25">
        <f>IFERROR(IF(填写首页!$B$6="CIF目的港",IF(填写首页!$D$7&gt;0,D5+B5+B7+填写首页!$D$7/MAX(填写首页!$D$5,1),(D5+B5+B7)/(1-填写首页!$B$7)),D5+B5+B7),0)</f>
        <v/>
      </c>
      <c r="C8" s="10" t="inlineStr">
        <is>
          <t>客户单独报价目标销售RMB/件</t>
        </is>
      </c>
      <c r="D8" s="25">
        <f>IFERROR(D6+B6+D7,0)</f>
        <v/>
      </c>
      <c r="E8" s="10" t="inlineStr">
        <is>
          <t>整体目标销售RMB/件</t>
        </is>
      </c>
      <c r="F8" s="25">
        <f>B8+D8+F4</f>
        <v/>
      </c>
    </row>
    <row r="9">
      <c r="A9" s="10" t="inlineStr">
        <is>
          <t>套装目标销售USD/件</t>
        </is>
      </c>
      <c r="B9" s="25">
        <f>IFERROR(B8/填写首页!F5,0)</f>
        <v/>
      </c>
      <c r="C9" s="10" t="inlineStr">
        <is>
          <t>客户单独报价USD/件</t>
        </is>
      </c>
      <c r="D9" s="25">
        <f>IFERROR(D8/填写首页!F5,0)</f>
        <v/>
      </c>
      <c r="E9" s="10" t="inlineStr">
        <is>
          <t>整体目标销售USD/件</t>
        </is>
      </c>
      <c r="F9" s="25">
        <f>IFERROR(F8/填写首页!F5,0)</f>
        <v/>
      </c>
    </row>
    <row r="10">
      <c r="A10" s="10" t="inlineStr">
        <is>
          <t>当前综合成本加价率</t>
        </is>
      </c>
      <c r="B10" s="25">
        <f>IFERROR(F7/(D5+D6),0)</f>
        <v/>
      </c>
      <c r="C10" s="10" t="inlineStr">
        <is>
          <t>底线成本加价率</t>
        </is>
      </c>
      <c r="D10" s="25">
        <f>填写首页!J5</f>
        <v/>
      </c>
      <c r="E10" s="10" t="inlineStr">
        <is>
          <t>加价结论</t>
        </is>
      </c>
      <c r="F10" s="25">
        <f>IF(B10&lt;D10,"低于底线","OK")</f>
        <v/>
      </c>
    </row>
    <row r="11">
      <c r="A11" s="10" t="inlineStr">
        <is>
          <t>CIF保险RMB/件</t>
        </is>
      </c>
      <c r="B11" s="25">
        <f>IF(填写首页!B6="CIF目的港",IF(填写首页!D7&gt;0,填写首页!D7/MAX(填写首页!D5,1),B8*填写首页!B7),0)</f>
        <v/>
      </c>
      <c r="C11" s="10" t="inlineStr">
        <is>
          <t>报价显示方式</t>
        </is>
      </c>
      <c r="D11" s="25">
        <f>填写首页!F6</f>
        <v/>
      </c>
      <c r="E11" s="10" t="inlineStr">
        <is>
          <t>客户版可外发</t>
        </is>
      </c>
      <c r="F11" s="25">
        <f>IF(COUNTIF(价格口径检查!$B:$B,"报警")&gt;0,"否","是")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E0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尼厂出厂成本</t>
        </is>
      </c>
      <c r="B1" t="inlineStr">
        <is>
          <t>EXW中国供应商</t>
        </is>
      </c>
      <c r="C1" t="inlineStr">
        <is>
          <t>手动确认成本</t>
        </is>
      </c>
      <c r="D1" t="inlineStr">
        <is>
          <t>尼日利亚工厂</t>
        </is>
      </c>
      <c r="E1" t="inlineStr">
        <is>
          <t>尼日利亚工厂配套后出货</t>
        </is>
      </c>
      <c r="F1" t="inlineStr">
        <is>
          <t>计入套装BOM</t>
        </is>
      </c>
      <c r="G1" t="inlineStr">
        <is>
          <t>是</t>
        </is>
      </c>
      <c r="H1" t="inlineStr">
        <is>
          <t>USD</t>
        </is>
      </c>
      <c r="I1" t="inlineStr">
        <is>
          <t>FOB尼日利亚港</t>
        </is>
      </c>
      <c r="J1" t="inlineStr">
        <is>
          <t>套装总价</t>
        </is>
      </c>
      <c r="K1" t="inlineStr">
        <is>
          <t>按柜</t>
        </is>
      </c>
      <c r="L1" t="inlineStr">
        <is>
          <t>启用</t>
        </is>
      </c>
      <c r="M1" t="inlineStr">
        <is>
          <t>公式测算</t>
        </is>
      </c>
      <c r="N1" t="inlineStr">
        <is>
          <t>手动分摊基数</t>
        </is>
      </c>
    </row>
    <row r="2">
      <c r="A2" t="inlineStr">
        <is>
          <t>尼厂装柜成本</t>
        </is>
      </c>
      <c r="B2" t="inlineStr">
        <is>
          <t>送中国指定仓/进仓价</t>
        </is>
      </c>
      <c r="D2" t="inlineStr">
        <is>
          <t>中国供应商</t>
        </is>
      </c>
      <c r="E2" t="inlineStr">
        <is>
          <t>中国配件直发客户</t>
        </is>
      </c>
      <c r="F2" t="inlineStr">
        <is>
          <t>计入独立物流</t>
        </is>
      </c>
      <c r="G2" t="inlineStr">
        <is>
          <t>否</t>
        </is>
      </c>
      <c r="H2" t="inlineStr">
        <is>
          <t>RMB</t>
        </is>
      </c>
      <c r="I2" t="inlineStr">
        <is>
          <t>CFR目的港</t>
        </is>
      </c>
      <c r="J2" t="inlineStr">
        <is>
          <t>分项报价</t>
        </is>
      </c>
      <c r="K2" t="inlineStr">
        <is>
          <t>按CBM</t>
        </is>
      </c>
      <c r="L2" t="inlineStr">
        <is>
          <t>停用</t>
        </is>
      </c>
      <c r="M2" t="inlineStr">
        <is>
          <t>手动填写</t>
        </is>
      </c>
      <c r="N2" t="inlineStr">
        <is>
          <t>按装柜测算量</t>
        </is>
      </c>
    </row>
    <row r="3">
      <c r="A3" t="inlineStr">
        <is>
          <t>FOB尼日利亚港</t>
        </is>
      </c>
      <c r="B3" t="inlineStr">
        <is>
          <t>FOB中国港</t>
        </is>
      </c>
      <c r="D3" t="inlineStr">
        <is>
          <t>尼日利亚本地供应商</t>
        </is>
      </c>
      <c r="E3" t="inlineStr">
        <is>
          <t>中国配件发尼厂后配套</t>
        </is>
      </c>
      <c r="F3" t="inlineStr">
        <is>
          <t>客户单独报价</t>
        </is>
      </c>
      <c r="I3" t="inlineStr">
        <is>
          <t>CIF目的港</t>
        </is>
      </c>
      <c r="K3" t="inlineStr">
        <is>
          <t>按件</t>
        </is>
      </c>
      <c r="N3" t="inlineStr">
        <is>
          <t>按订单实际柜数摊销</t>
        </is>
      </c>
    </row>
    <row r="4">
      <c r="A4" t="inlineStr">
        <is>
          <t>手动确认成本</t>
        </is>
      </c>
      <c r="B4" t="inlineStr">
        <is>
          <t>到尼厂入库成本</t>
        </is>
      </c>
      <c r="D4" t="inlineStr">
        <is>
          <t>手动确认</t>
        </is>
      </c>
      <c r="E4" t="inlineStr">
        <is>
          <t>尼日利亚本地采购配套</t>
        </is>
      </c>
      <c r="F4" t="inlineStr">
        <is>
          <t>仅参考不计入</t>
        </is>
      </c>
      <c r="I4" t="inlineStr">
        <is>
          <t>FOB中国港</t>
        </is>
      </c>
      <c r="K4" t="inlineStr">
        <is>
          <t>按金额比例</t>
        </is>
      </c>
    </row>
    <row r="5">
      <c r="B5" t="inlineStr">
        <is>
          <t>手动确认成本</t>
        </is>
      </c>
      <c r="I5" t="inlineStr">
        <is>
          <t>手动项目报价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2026-05-29T09:57:44Z</dcterms:created>
  <dcterms:modified xmlns:dcterms="http://purl.org/dc/terms/" xmlns:xsi="http://www.w3.org/2001/XMLSchema-instance" xsi:type="dcterms:W3CDTF">2026-05-29T09:57:44Z</dcterms:modified>
</cp:coreProperties>
</file>